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GPC\.claude\Website Score Generator\"/>
    </mc:Choice>
  </mc:AlternateContent>
  <xr:revisionPtr revIDLastSave="0" documentId="8_{FE2F12CD-5830-4E53-92EE-B0D5988897E9}" xr6:coauthVersionLast="47" xr6:coauthVersionMax="47" xr10:uidLastSave="{00000000-0000-0000-0000-000000000000}"/>
  <bookViews>
    <workbookView xWindow="-105" yWindow="0" windowWidth="26010" windowHeight="20985" tabRatio="580" activeTab="1" xr2:uid="{00000000-000D-0000-FFFF-FFFF00000000}"/>
  </bookViews>
  <sheets>
    <sheet name="Instructions" sheetId="5" r:id="rId1"/>
    <sheet name="Kitchen" sheetId="2" r:id="rId2"/>
    <sheet name="Ingredients" sheetId="1" r:id="rId3"/>
    <sheet name="Pablumator" sheetId="3" r:id="rId4"/>
    <sheet name="Student Chart" sheetId="6" r:id="rId5"/>
    <sheet name="Demo Stats" sheetId="4" r:id="rId6"/>
  </sheets>
  <definedNames>
    <definedName name="_xlnm.Print_Area" localSheetId="1">Kitchen!$A$1:$H$42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2" l="1"/>
  <c r="F1" i="6"/>
  <c r="B17" i="4" l="1"/>
  <c r="B16" i="4"/>
  <c r="B13" i="4"/>
  <c r="B12" i="4"/>
  <c r="B9" i="4"/>
  <c r="B8" i="4"/>
  <c r="B7" i="4"/>
  <c r="B6" i="4"/>
  <c r="G8" i="6" l="1"/>
  <c r="G7" i="6"/>
  <c r="G6" i="6"/>
  <c r="G5" i="6"/>
  <c r="I4" i="6"/>
  <c r="G4" i="6"/>
  <c r="G3" i="6"/>
  <c r="G2" i="6"/>
  <c r="C9" i="6"/>
  <c r="E8" i="6"/>
  <c r="I8" i="6" s="1"/>
  <c r="A8" i="6"/>
  <c r="E7" i="6"/>
  <c r="I7" i="6" s="1"/>
  <c r="A7" i="6"/>
  <c r="E6" i="6"/>
  <c r="I6" i="6" s="1"/>
  <c r="A6" i="6"/>
  <c r="E5" i="6"/>
  <c r="I5" i="6" s="1"/>
  <c r="A5" i="6"/>
  <c r="E4" i="6"/>
  <c r="A4" i="6"/>
  <c r="E3" i="6"/>
  <c r="I3" i="6" s="1"/>
  <c r="A3" i="6"/>
  <c r="E2" i="6"/>
  <c r="I2" i="6" s="1"/>
  <c r="A2" i="6"/>
  <c r="F19" i="2"/>
  <c r="G16" i="2"/>
  <c r="F16" i="2"/>
  <c r="H14" i="2"/>
  <c r="G14" i="2"/>
  <c r="D14" i="2"/>
  <c r="F14" i="2" s="1"/>
  <c r="B8" i="6" s="1"/>
  <c r="D8" i="6" s="1"/>
  <c r="H8" i="6" s="1"/>
  <c r="H13" i="2"/>
  <c r="G13" i="2"/>
  <c r="D13" i="2"/>
  <c r="F13" i="2" s="1"/>
  <c r="B7" i="6" s="1"/>
  <c r="D7" i="6" s="1"/>
  <c r="H7" i="6" s="1"/>
  <c r="H12" i="2"/>
  <c r="G12" i="2"/>
  <c r="D12" i="2"/>
  <c r="F12" i="2" s="1"/>
  <c r="B6" i="6" s="1"/>
  <c r="D6" i="6" s="1"/>
  <c r="H6" i="6" s="1"/>
  <c r="H11" i="2"/>
  <c r="G11" i="2"/>
  <c r="D11" i="2"/>
  <c r="F11" i="2" s="1"/>
  <c r="B5" i="6" s="1"/>
  <c r="D5" i="6" s="1"/>
  <c r="H5" i="6" s="1"/>
  <c r="H10" i="2"/>
  <c r="G10" i="2"/>
  <c r="F10" i="2"/>
  <c r="B4" i="6" s="1"/>
  <c r="D4" i="6" s="1"/>
  <c r="H4" i="6" s="1"/>
  <c r="D10" i="2"/>
  <c r="H9" i="2"/>
  <c r="G9" i="2"/>
  <c r="D9" i="2"/>
  <c r="F9" i="2" s="1"/>
  <c r="B3" i="6" s="1"/>
  <c r="D3" i="6" s="1"/>
  <c r="H3" i="6" s="1"/>
  <c r="H8" i="2"/>
  <c r="G8" i="2"/>
  <c r="D8" i="2"/>
  <c r="F8" i="2" s="1"/>
  <c r="B2" i="6" s="1"/>
  <c r="D2" i="6" s="1"/>
  <c r="H2" i="6" s="1"/>
  <c r="H5" i="2"/>
  <c r="D9" i="6" l="1"/>
  <c r="E9" i="6"/>
  <c r="B15" i="4"/>
  <c r="F18" i="2"/>
  <c r="F20" i="2" s="1"/>
  <c r="F21" i="2" s="1"/>
  <c r="F23" i="2" s="1"/>
  <c r="B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GGPC</author>
  </authors>
  <commentList>
    <comment ref="E7" authorId="0" shapeId="0" xr:uid="{1CB0D14D-7F66-4335-B6FA-CA5455D720ED}">
      <text>
        <r>
          <rPr>
            <b/>
            <sz val="9"/>
            <color indexed="81"/>
            <rFont val="Tahoma"/>
            <family val="2"/>
          </rPr>
          <t>⚠ Override outside grade band = red cell. See Ingredients D11:E21.</t>
        </r>
      </text>
    </comment>
  </commentList>
</comments>
</file>

<file path=xl/sharedStrings.xml><?xml version="1.0" encoding="utf-8"?>
<sst xmlns="http://schemas.openxmlformats.org/spreadsheetml/2006/main" count="297" uniqueCount="234">
  <si>
    <t>MRKTG101 – 5Cs Assessment  |  Ingredients Sheet  |  University of Waikato</t>
  </si>
  <si>
    <t>Tier</t>
  </si>
  <si>
    <t>Grade Range</t>
  </si>
  <si>
    <t>New Product Idea</t>
  </si>
  <si>
    <t>Context – PESTLE</t>
  </si>
  <si>
    <t>Company – SWOT</t>
  </si>
  <si>
    <t>Competition</t>
  </si>
  <si>
    <t>Collaborators</t>
  </si>
  <si>
    <t>Customers</t>
  </si>
  <si>
    <t>Writing &amp; Presentation (incl. APA 7th)</t>
  </si>
  <si>
    <t>Excellent</t>
  </si>
  <si>
    <t>A+ / A / A-</t>
  </si>
  <si>
    <t>Concise, well-explained new product idea that directly addresses a current consumer problem. Pain points are clearly identified and supported with relevant evidence or market data.</t>
  </si>
  <si>
    <t>Comprehensive, focused PESTLE analysis using only relevant macro-environmental factors. All elements are well-explained, linked directly to the business idea, and supported with credible referenced evidence.</t>
  </si>
  <si>
    <t>Detailed, well-structured SWOT clearly focused on the chosen retailer. Internal S/W grounded in the retailer's capabilities; O/T supported by credible, referenced external evidence.</t>
  </si>
  <si>
    <t>Clear competitive comparison identifying both direct and indirect competitors. Strengths and weaknesses of the new product vs. existing alternatives are well-evidenced and logically argued.</t>
  </si>
  <si>
    <t>Well-defined collaborators (suppliers, distributors, promotional partners) with clear roles, a logical distribution strategy, and explanation of each collaborator's importance to success.</t>
  </si>
  <si>
    <t>Well-defined NZ customer segment with key demographic factors (age, income, lifestyle), clear pain points, and evidence-backed purchasing behaviour linked to the product.</t>
  </si>
  <si>
    <t>Professionally written, clear, and concise. Well-structured with effective subheadings and formatting. APA 7th in-text citations and reference list correctly applied. Within 3-page limit.</t>
  </si>
  <si>
    <t>Proficient</t>
  </si>
  <si>
    <t>B+ / B / B-</t>
  </si>
  <si>
    <t>Clear new product idea with a solid link to consumer pain points, though some aspects could be more precisely explained or supported with market evidence.</t>
  </si>
  <si>
    <t>Covers most relevant PESTLE factors and links them to the business idea, though some explanations lack depth or supporting references.</t>
  </si>
  <si>
    <t>SWOT covers the retailer's strengths, weaknesses, opportunities, and threats clearly, though some elements lack depth or the internal/external distinction could be stronger.</t>
  </si>
  <si>
    <t>Identifies key competitors and explains basic differences between them and the new product, though the competitive analysis could be more thorough or evidence-based.</t>
  </si>
  <si>
    <t>Identifies key collaborators and explains their importance, though the distribution strategy or some roles could be more clearly defined or justified.</t>
  </si>
  <si>
    <t>Defines target customers with at least one relevant demographic factor (e.g., income, age, lifestyle), though depth or NZ-specific evidence could be stronger.</t>
  </si>
  <si>
    <t>Well-organised with only minor grammar or spelling issues. Subheadings and structure are clear. APA referencing mostly correct with minor errors. Within page limit.</t>
  </si>
  <si>
    <t>Developing</t>
  </si>
  <si>
    <t>C+ / C / C-</t>
  </si>
  <si>
    <t>Basic product description with some reference to pain points, but lacking sufficient clarity, newness, or specificity to make a compelling case.</t>
  </si>
  <si>
    <t>Some relevant PESTLE factors identified but key ones are missing, or the link to the business idea is unclear or underdeveloped.</t>
  </si>
  <si>
    <t>SWOT partially completed or lacks depth. May focus on the product rather than the retailer, or internal and external factors are confused or insufficiently evidenced.</t>
  </si>
  <si>
    <t>Identifies competitors but does not meaningfully compare them to the new product, or competitive advantages and disadvantages are not clearly explained.</t>
  </si>
  <si>
    <t>Lists some collaborators but lacks detail on their roles, or omits key types such as distributors or promotional partners.</t>
  </si>
  <si>
    <t>Basic description of customers without meaningful demographic detail, pain point analysis, or NZ-specific focus.</t>
  </si>
  <si>
    <t>Some grammar or spelling issues, or structure lacks clarity. Subheadings inconsistent or missing. APA referencing attempted but with notable errors.</t>
  </si>
  <si>
    <t>Unsatisfactory</t>
  </si>
  <si>
    <t>D</t>
  </si>
  <si>
    <t>Product idea absent, unclear, or fails to identify meaningful consumer pain points. The proposal lacks a viable foundation.</t>
  </si>
  <si>
    <t>No macro-environmental analysis, or factors selected are largely irrelevant to the business idea. PESTLE framework not meaningfully applied.</t>
  </si>
  <si>
    <t>No SWOT analysis, or analysis focuses on the product rather than the chosen retailer. Framework not applied or incorrectly applied.</t>
  </si>
  <si>
    <t>No competition section, or only a generic list of competitor names with no analysis of how the new product compares.</t>
  </si>
  <si>
    <t>No collaborators listed, or collaborators identified lack relevance to the product or the NZ market.</t>
  </si>
  <si>
    <t>No customer section, or audience description is too vague to support any meaningful marketing or targeting decisions.</t>
  </si>
  <si>
    <t>Poor writing, weak or absent structure, or significantly over the 3-page limit. Little or no attempt at APA referencing.</t>
  </si>
  <si>
    <t>Criterion Weight (must total 100)</t>
  </si>
  <si>
    <t>Grade</t>
  </si>
  <si>
    <t>Midpoint Score</t>
  </si>
  <si>
    <t>Band Notes</t>
  </si>
  <si>
    <t>A+</t>
  </si>
  <si>
    <t>90–100 band</t>
  </si>
  <si>
    <t>A</t>
  </si>
  <si>
    <t>85–89 band</t>
  </si>
  <si>
    <t>A-</t>
  </si>
  <si>
    <t>80–84 band</t>
  </si>
  <si>
    <t>B+</t>
  </si>
  <si>
    <t>75–79 band</t>
  </si>
  <si>
    <t>B</t>
  </si>
  <si>
    <t>70–74 band</t>
  </si>
  <si>
    <t>B-</t>
  </si>
  <si>
    <t>65–69 band</t>
  </si>
  <si>
    <t>C+</t>
  </si>
  <si>
    <t>60–64 band</t>
  </si>
  <si>
    <t>C</t>
  </si>
  <si>
    <t>55–59 band</t>
  </si>
  <si>
    <t>C-</t>
  </si>
  <si>
    <t>50–54 band</t>
  </si>
  <si>
    <t>40–49 band — midpoint used</t>
  </si>
  <si>
    <t>SECTION 3 — Grade → Feedback Tier Mapping</t>
  </si>
  <si>
    <t>Feedback Tier</t>
  </si>
  <si>
    <t>Tier Number (for formulas)</t>
  </si>
  <si>
    <t>SECTION 4 — Grade Threshold Table  (used by Kitchen LOOKUP formula)</t>
  </si>
  <si>
    <t>Score Floor</t>
  </si>
  <si>
    <t>Grade Label</t>
  </si>
  <si>
    <t>Notes</t>
  </si>
  <si>
    <t>Score 40–49 (fail band)</t>
  </si>
  <si>
    <t>Score 50–54</t>
  </si>
  <si>
    <t>Score 55–59</t>
  </si>
  <si>
    <t>Score 60–64</t>
  </si>
  <si>
    <t>Score 65–69</t>
  </si>
  <si>
    <t>Score 70–74</t>
  </si>
  <si>
    <t>Score 75–79</t>
  </si>
  <si>
    <t>Score 80–84</t>
  </si>
  <si>
    <t>Score 85–89</t>
  </si>
  <si>
    <t>Score 90–100</t>
  </si>
  <si>
    <t>Kitchen formula:  =IF(F20="","",LOOKUP(F20,Ingredients!$A$38:$A$47,Ingredients!$B$38:$B$47))</t>
  </si>
  <si>
    <t>FEEDBACK KITCHEN  |  MRKTG101 – 5Cs Analysis  |  University of Waikato</t>
  </si>
  <si>
    <t>Student Name:</t>
  </si>
  <si>
    <t>Student ID:</t>
  </si>
  <si>
    <t>Tutor:</t>
  </si>
  <si>
    <t>Date:</t>
  </si>
  <si>
    <t>Criterion</t>
  </si>
  <si>
    <t>Weight (%)</t>
  </si>
  <si>
    <t>Grade
(select ▼)</t>
  </si>
  <si>
    <t>Midpoint
Score</t>
  </si>
  <si>
    <t>Override
Score</t>
  </si>
  <si>
    <t>Final
Score</t>
  </si>
  <si>
    <t>Tier
No.</t>
  </si>
  <si>
    <t>Weighting check (must total 100):</t>
  </si>
  <si>
    <t>Weighted Score /100:</t>
  </si>
  <si>
    <t>Late Submission Penalty:</t>
  </si>
  <si>
    <t>2 days late</t>
  </si>
  <si>
    <t>Penalised Score /100:</t>
  </si>
  <si>
    <t>Suggested Grade:</t>
  </si>
  <si>
    <t>Grade Override (optional):</t>
  </si>
  <si>
    <t>Final Grade:</t>
  </si>
  <si>
    <t>▼  COOKED FEEDBACK  —  Select all text below and paste into your feedback system</t>
  </si>
  <si>
    <t>Tier Name</t>
  </si>
  <si>
    <t>Intro Paragraph</t>
  </si>
  <si>
    <t>Outro Paragraph</t>
  </si>
  <si>
    <t>Thank you for submitting your 5Cs analysis. While I appreciate that you made a submission, the work does not yet meet the expected standard for this assessment. The feedback below outlines the key areas that need significant development, and I would encourage you to engage with this carefully and to seek support if you are unsure how to move forward.</t>
  </si>
  <si>
    <t>Enter values in the yellow cells — all other cells update automatically.</t>
  </si>
  <si>
    <t>▼  INPUTS</t>
  </si>
  <si>
    <t>Cohort size (students)</t>
  </si>
  <si>
    <t>Number of students in this cohort</t>
  </si>
  <si>
    <t>Total time (manual) — hours</t>
  </si>
  <si>
    <t>Total time (Kitchen) — hours</t>
  </si>
  <si>
    <t>Time saved — hours</t>
  </si>
  <si>
    <t>Time saved — minutes</t>
  </si>
  <si>
    <t>Efficiency gain</t>
  </si>
  <si>
    <t>Welcome to the MRKTG101 Feedback Kitchen.</t>
  </si>
  <si>
    <t>This tool is designed to speed up marking, reduce errors, and standardise feedback while still allowing tutor judgement and personalisation.</t>
  </si>
  <si>
    <t>Follow the steps below when completing a student’s assessment.</t>
  </si>
  <si>
    <t>1. Enter Student Details</t>
  </si>
  <si>
    <t>• Student Name</t>
  </si>
  <si>
    <t>• Student ID</t>
  </si>
  <si>
    <t>• Tutor</t>
  </si>
  <si>
    <t>2. Select a Grade for Each Criterion</t>
  </si>
  <si>
    <t>2) The Midpoint Score will auto‑populate based on the selected grade.</t>
  </si>
  <si>
    <t>The tool will convert each grade into its numerical midpoint, calculate weighted contributions, and determine the overall score and suggested grade.</t>
  </si>
  <si>
    <t>The criteria must total 100%. The tool will show a ✓ when correct, highlight red if the weights do not add to 100, and leave the weighted score blank to prevent errors.</t>
  </si>
  <si>
    <t>4. Apply Late Penalties (if applicable)</t>
  </si>
  <si>
    <t>5. Review the Suggested Grade</t>
  </si>
  <si>
    <t>6. Copy the Cooked Feedback</t>
  </si>
  <si>
    <t>The bottom section (“COOKED FEEDBACK”) automatically assembles an intro paragraph based on the overall tier, criterion‑by‑criterion feedback, late‑submission note (if applicable), a closing paragraph, and space for any personalised comments.</t>
  </si>
  <si>
    <t>To use it: select the text, copy, and paste into your grading system. No macros required.</t>
  </si>
  <si>
    <t>• Go to the Pablumator sheet to edit Intro &amp; Outro text (yellow cells).</t>
  </si>
  <si>
    <t>• Criterion descriptors live in the Ingredients sheet.</t>
  </si>
  <si>
    <t>• All changes update automatically in the “Cooked Feedback”.</t>
  </si>
  <si>
    <t>• Formula cells are blue (do not edit).</t>
  </si>
  <si>
    <t>Key parameters are in the Ingredients sheet: grade thresholds, grade → midpoint mappings, rubric descriptors, weighting table, and lateness penalty percentages. Editing values here updates the entire tool.</t>
  </si>
  <si>
    <t>Acknowledgement</t>
  </si>
  <si>
    <r>
      <rPr>
        <b/>
        <i/>
        <sz val="12"/>
        <color rgb="FF555555"/>
        <rFont val="Arial"/>
        <family val="2"/>
      </rPr>
      <t>KEY</t>
    </r>
    <r>
      <rPr>
        <i/>
        <sz val="12"/>
        <color rgb="FF555555"/>
        <rFont val="Arial"/>
        <family val="2"/>
      </rPr>
      <t xml:space="preserve">:   </t>
    </r>
    <r>
      <rPr>
        <i/>
        <sz val="12"/>
        <color rgb="FFFFFF00"/>
        <rFont val="Arial"/>
        <family val="2"/>
      </rPr>
      <t>🟡</t>
    </r>
    <r>
      <rPr>
        <i/>
        <sz val="12"/>
        <color rgb="FF555555"/>
        <rFont val="Arial"/>
        <family val="2"/>
      </rPr>
      <t xml:space="preserve"> Yellow cells = Tutor input   |   </t>
    </r>
    <r>
      <rPr>
        <i/>
        <sz val="12"/>
        <color rgb="FF00B0F0"/>
        <rFont val="Arial"/>
        <family val="2"/>
      </rPr>
      <t xml:space="preserve">🔵 </t>
    </r>
    <r>
      <rPr>
        <i/>
        <sz val="12"/>
        <color rgb="FF555555"/>
        <rFont val="Arial"/>
        <family val="2"/>
      </rPr>
      <t xml:space="preserve">Blue cells = Auto-calculated   |   </t>
    </r>
    <r>
      <rPr>
        <b/>
        <i/>
        <sz val="12"/>
        <color rgb="FF555555"/>
        <rFont val="Arial"/>
        <family val="2"/>
      </rPr>
      <t>Override Score</t>
    </r>
    <r>
      <rPr>
        <i/>
        <sz val="12"/>
        <color rgb="FF555555"/>
        <rFont val="Arial"/>
        <family val="2"/>
      </rPr>
      <t xml:space="preserve">: type a number (e.g. 78) to replace midpoint for that criterion   |   </t>
    </r>
    <r>
      <rPr>
        <b/>
        <i/>
        <sz val="12"/>
        <color rgb="FFFF0000"/>
        <rFont val="Arial"/>
        <family val="2"/>
      </rPr>
      <t>Late Penalty</t>
    </r>
    <r>
      <rPr>
        <i/>
        <sz val="12"/>
        <color rgb="FF555555"/>
        <rFont val="Arial"/>
        <family val="2"/>
      </rPr>
      <t xml:space="preserve">: select days late from dropdown — score and feedback auto-update   |   </t>
    </r>
    <r>
      <rPr>
        <b/>
        <i/>
        <sz val="12"/>
        <color rgb="FF555555"/>
        <rFont val="Arial"/>
        <family val="2"/>
      </rPr>
      <t>Grade Override</t>
    </r>
    <r>
      <rPr>
        <i/>
        <sz val="12"/>
        <color rgb="FF555555"/>
        <rFont val="Arial"/>
        <family val="2"/>
      </rPr>
      <t>: type a grade label (e.g. B+) to replace the calculated final grade</t>
    </r>
  </si>
  <si>
    <t>Maximum</t>
  </si>
  <si>
    <t>Score /100</t>
  </si>
  <si>
    <t>Max Marks</t>
  </si>
  <si>
    <t>Adjusted Score</t>
  </si>
  <si>
    <t>TOTAL</t>
  </si>
  <si>
    <t>3. Check the Weighting if Changing (It's already fine so no need to change unless advised)</t>
  </si>
  <si>
    <t>I would strongly encourage you to review the assessment brief and marking rubric carefully, and to make use of the support available to you - whether that is visiting office hours, working with the university's academic skills team, or engaging with the course materials more deeply. Please don't give up - with focused effort and the right support, improvement is absolutely achievable.</t>
  </si>
  <si>
    <t>▼  ADDITIONAL COMMENTS  —  Add any personalised or summary marking comments and remarks here (this is not pasted onto the student Moodle score unless you choose to do so)</t>
  </si>
  <si>
    <t>▼  TOTAL TIME SAVINGS — CALCULATED FOR THIS COHORT</t>
  </si>
  <si>
    <t>NOTE:  Estimates and averages only.  Actual savings will vary by cohort, assignment complexity, and tutor familiarity with the tool.  Feel free to edit the yellow input cells above to reflect your own context or discussions.</t>
  </si>
  <si>
    <t>PABLUMATOR  |  Intro &amp; Outro Text by Grade Tier  |  Edit cells below to customise your feedback tone</t>
  </si>
  <si>
    <r>
      <t>SECTION 1 — Rubric Descriptors by Tier and Criterion</t>
    </r>
    <r>
      <rPr>
        <b/>
        <sz val="10"/>
        <color rgb="FFFF0000"/>
        <rFont val="Arial"/>
        <family val="2"/>
      </rPr>
      <t xml:space="preserve"> (Extracted from the Student Manual - Lecturer only to change this section)</t>
    </r>
  </si>
  <si>
    <r>
      <t xml:space="preserve">SECTION 2 — Grade → Midpoint Score Mapping </t>
    </r>
    <r>
      <rPr>
        <b/>
        <sz val="10"/>
        <color rgb="FFFF0000"/>
        <rFont val="Arial"/>
        <family val="2"/>
      </rPr>
      <t>(From UWSMM Policy)</t>
    </r>
  </si>
  <si>
    <t>Days Late</t>
  </si>
  <si>
    <t>Penalty</t>
  </si>
  <si>
    <t>10% deducted</t>
  </si>
  <si>
    <t>20% deducted</t>
  </si>
  <si>
    <t>30% deducted</t>
  </si>
  <si>
    <t>Penalties apply to submissions without an approved extension.</t>
  </si>
  <si>
    <t>Up to 24 hours 
(1 day)</t>
  </si>
  <si>
    <t>Up to 48 hours 
(2 days)</t>
  </si>
  <si>
    <t>Up to 72 hours
 (3 days)</t>
  </si>
  <si>
    <r>
      <t xml:space="preserve">SECTION 5 — Late Penalty Policy </t>
    </r>
    <r>
      <rPr>
        <b/>
        <sz val="10"/>
        <color rgb="FFFF0000"/>
        <rFont val="Arial"/>
        <family val="2"/>
      </rPr>
      <t xml:space="preserve"> (</t>
    </r>
    <r>
      <rPr>
        <b/>
        <sz val="11"/>
        <color rgb="FFFF0000"/>
        <rFont val="Calibri"/>
        <family val="2"/>
      </rPr>
      <t xml:space="preserve">UWSMM Policy )
</t>
    </r>
    <r>
      <rPr>
        <sz val="11"/>
        <color theme="1"/>
        <rFont val="Calibri"/>
        <family val="2"/>
        <charset val="1"/>
      </rPr>
      <t>&amp; used by Kitchen LOOKUP formula</t>
    </r>
  </si>
  <si>
    <t>Best case Ave. time to use Feedback Kitchen (hrs)</t>
  </si>
  <si>
    <t>Worst case Ave. time to use Feedback Kitchen (hrs)</t>
  </si>
  <si>
    <t>Worst case Ave. time to write all feedback manually (hrs)</t>
  </si>
  <si>
    <t>Best case Ave. time to write all feedback manually (hrs)</t>
  </si>
  <si>
    <t>How many hours for these students without the Kitchen best case for experienced tutors (ie at best 3.5mins for ea of the 7 criteria)</t>
  </si>
  <si>
    <t>How many hours for these students without the Kitchen worst case for inexperienced tutors to read and score (ie at best 5mins for ea of the 7 criteria)</t>
  </si>
  <si>
    <t>Estimated time using the Kitchen tool as a new tutor (ie at best around 4mins per criteria)</t>
  </si>
  <si>
    <t>Estimated time using the Kitchen tool as an experienced  tutor (ie at best around 2mins per criteria)</t>
  </si>
  <si>
    <t>Possible Budget that can be reinvested (x2.5 for all marking in this paper)</t>
  </si>
  <si>
    <t>Progress Report 1  |  Weighting: 15% of final grade  |  v2.0</t>
  </si>
  <si>
    <t>DEMO STATS  |  Time-Savings Calculator  |  Feedback Kitchen v2.0</t>
  </si>
  <si>
    <t>Feedback Kitchen v.2.0 — Instructions</t>
  </si>
  <si>
    <t>Feedback Kitchen v2.0  |  MRKTG101 5Cs Analysis  |  University of Waikato  |  Architecture based on original tool by Michael Harker, University of Strathclyde</t>
  </si>
  <si>
    <r>
      <t xml:space="preserve">Fill in the </t>
    </r>
    <r>
      <rPr>
        <b/>
        <sz val="11"/>
        <color theme="1"/>
        <rFont val="Calibri"/>
        <family val="2"/>
      </rPr>
      <t>yellow</t>
    </r>
    <r>
      <rPr>
        <sz val="11"/>
        <color theme="1"/>
        <rFont val="Calibri"/>
        <family val="2"/>
        <charset val="1"/>
      </rPr>
      <t xml:space="preserve"> cells at the top of the</t>
    </r>
    <r>
      <rPr>
        <sz val="11"/>
        <color theme="9" tint="-0.249977111117893"/>
        <rFont val="Calibri"/>
        <family val="2"/>
      </rPr>
      <t xml:space="preserve"> orange</t>
    </r>
    <r>
      <rPr>
        <sz val="11"/>
        <color theme="1"/>
        <rFont val="Calibri"/>
        <family val="2"/>
        <charset val="1"/>
      </rPr>
      <t xml:space="preserve"> </t>
    </r>
    <r>
      <rPr>
        <b/>
        <sz val="11"/>
        <color theme="9" tint="-0.249977111117893"/>
        <rFont val="Calibri"/>
        <family val="2"/>
      </rPr>
      <t>Kitchen</t>
    </r>
    <r>
      <rPr>
        <sz val="11"/>
        <color theme="9" tint="-0.249977111117893"/>
        <rFont val="Calibri"/>
        <family val="2"/>
      </rPr>
      <t xml:space="preserve"> </t>
    </r>
    <r>
      <rPr>
        <b/>
        <sz val="11"/>
        <color theme="9" tint="-0.249977111117893"/>
        <rFont val="Calibri"/>
        <family val="2"/>
      </rPr>
      <t>Tab</t>
    </r>
    <r>
      <rPr>
        <sz val="11"/>
        <color theme="9" tint="-0.249977111117893"/>
        <rFont val="Calibri"/>
        <family val="2"/>
      </rPr>
      <t>:</t>
    </r>
  </si>
  <si>
    <t>• Date (autopopulated)</t>
  </si>
  <si>
    <t>These fields are recommended for record‑keeping and to assist with any review related to student queries etc.</t>
  </si>
  <si>
    <t>For each of the seven assessment criteria, once you have assessed the criteria:</t>
  </si>
  <si>
    <t>1) Use the dropdown in the Grade column to find the grade earnt.</t>
  </si>
  <si>
    <t xml:space="preserve">   – Advisory highlight: if an override falls outside the selected grade's score band, the cell turns red. This is advisory only — the override score is still accepted but for feedback purposes please reselect the updated grade so the cell isn't red.</t>
  </si>
  <si>
    <t>Moodle 'Status' flags late work automatically and will say "Submitted late'. Based on how late it is, use the dropdown to select the lateness band. The appropriate deduction (out of 100%) is automatically applied, and the penalised score updates.</t>
  </si>
  <si>
    <t>The tool uses a sorted threshold table and a standard Excel LOOKUP() to map the final score to a grade. If needed, you can adjust individual criterion scores using the Override Score column (E8:E14) to fine‑tune the result. Any override that falls outside the grade band selected in column C will be flagged with a red highlight and a ⚠ warning — review these before finalising.</t>
  </si>
  <si>
    <t>• Protection will be applied once finalised however the code is '1111' to unlock and add personalised touches.</t>
  </si>
  <si>
    <t>• This version of the workbook contains no macros for maximum compatibility - there's an option to use one with VBL that exports to a log and then resets for each student</t>
  </si>
  <si>
    <t>Adapted from the Feedback Kitchen tool originally developed and kindly shared by Dr. Michael Harker, University of Strathclyde. Redesigned for MRKTG101 at the University of Waikato to reflect the 5Cs analysis framework and UW grading policy. Developed with AI assistance (Claude, Anthropic &amp; MS Copilot).</t>
  </si>
  <si>
    <t>Mickey Mouse</t>
  </si>
  <si>
    <t>SM</t>
  </si>
  <si>
    <t>7. Export as PDF (optional)</t>
  </si>
  <si>
    <t>Windows:</t>
  </si>
  <si>
    <t>Ctrl + P → change printer to "Microsoft Print to PDF" → Print → choose a filename (e.g. StudentName_MRKTG101_Feedback.pdf) → Save.</t>
  </si>
  <si>
    <t>8. Customising the Tool (Again this is set and locked so need to do this unless advised — see Section 9 to unlock for personalisation)</t>
  </si>
  <si>
    <t>9. Protection and Editing Notes</t>
  </si>
  <si>
    <t>10. Updating Calculation Rules</t>
  </si>
  <si>
    <t>Mac:</t>
  </si>
  <si>
    <t>⌘ + P → click the "PDF" dropdown (bottom-left) → "Save as PDF" → choose a filename (e.g. StudentName_MRKTG101_Feedback.pdf) → Save.</t>
  </si>
  <si>
    <t xml:space="preserve">A print area is pre-set on the Kitchen sheet (A1:H42) so you can export it as a PDF that may come in handy should a student query it and you want to rule out human error for what is on Moodle. </t>
  </si>
  <si>
    <t>• Tutor‑input cells are yellow - if an error occurs the cell will change to a red colour signifying you need to review your content.</t>
  </si>
  <si>
    <r>
      <t xml:space="preserve">3) For scores higher or lower than the autopopulated one that appears, </t>
    </r>
    <r>
      <rPr>
        <b/>
        <sz val="11"/>
        <color rgb="FFFF0000"/>
        <rFont val="Calibri"/>
        <family val="2"/>
      </rPr>
      <t>enter</t>
    </r>
    <r>
      <rPr>
        <sz val="11"/>
        <color theme="1"/>
        <rFont val="Calibri"/>
        <family val="2"/>
        <charset val="1"/>
      </rPr>
      <t xml:space="preserve"> </t>
    </r>
    <r>
      <rPr>
        <b/>
        <sz val="11"/>
        <color rgb="FFFF0000"/>
        <rFont val="Calibri"/>
        <family val="2"/>
      </rPr>
      <t>a number manually in Override Score to replace the midpoint score</t>
    </r>
    <r>
      <rPr>
        <sz val="11"/>
        <color theme="1"/>
        <rFont val="Calibri"/>
        <family val="2"/>
        <charset val="1"/>
      </rPr>
      <t>.</t>
    </r>
  </si>
  <si>
    <t>Do not proceed unless the weighting is correct.</t>
  </si>
  <si>
    <t>This is genuinely outstanding work. Your 5Cs analysis demonstrates exceptional strategic thinking, a sophisticated command of theory, and the kind of polished, professional writing that sets the benchmark for this assessment. The originality and rigour you've brought to every section are truly impressive.</t>
  </si>
  <si>
    <t>This is excellent work. Your 5Cs analysis is well-structured, analytically strong, and demonstrates a confident grasp of the frameworks and their application. The depth and clarity of your writing reflect a high level of engagement with the material and a real understanding of the strategic context.</t>
  </si>
  <si>
    <t>This is a very strong piece of work. Your 5Cs analysis shows clear analytical ability and a good command of the relevant frameworks. There are areas of genuine excellence here, and with a little more depth or supporting evidence in places, this could move into the highest band.</t>
  </si>
  <si>
    <t>Thank you for your 5Cs analysis. This is a solid and well-considered submission that demonstrates a good understanding of the key marketing frameworks. You've engaged meaningfully with the material and there are clear strengths here. With some targeted refinement, you are well-placed to achieve even higher marks.</t>
  </si>
  <si>
    <t>Thank you for your 5Cs analysis. This is a competent submission that covers the required frameworks and shows a sound understanding of the core concepts. Your work is generally clear and well-organised, though there are areas where deeper analysis or stronger evidence would lift the quality further.</t>
  </si>
  <si>
    <t>Thank you for your 5Cs analysis. Your work demonstrates a reasonable understanding of the frameworks, though some sections would benefit from greater depth and more consistent application. The foundations are here, and with more focused analytical effort, there is a clear pathway to stronger results.</t>
  </si>
  <si>
    <t>Thank you for submitting your 5Cs analysis. Your work shows a developing understanding of the key concepts, with some sections handled better than others. There are promising elements here, and the feedback below is intended to help you see where a little more effort would make a real difference.</t>
  </si>
  <si>
    <t>Thank you for submitting your 5Cs analysis. Your work shows that you have a basic understanding of the key concepts, and I can see the effort you have put in. There are some foundations here to build on, and the feedback below is intended to help you understand where to focus your energy for future assessments.</t>
  </si>
  <si>
    <t>Thank you for submitting your 5Cs analysis. Your work touches on several of the required areas but lacks the depth and consistency needed to demonstrate a secure understanding. I'd encourage you to read the feedback below carefully and use it as a guide for where to focus your efforts going forward.</t>
  </si>
  <si>
    <t>There are promising elements in your work, and with more focused effort you can definitely move up. Pay close attention to the feedback above, particularly around analytical depth and use of evidence. I'd encourage you to visit office hours or review the course materials to strengthen your approach for next time.</t>
  </si>
  <si>
    <t>There is clear potential in your work, and I encourage you to use this feedback as a roadmap for improvement. Focus on developing deeper analysis, engaging more critically with the theory, and ensuring your writing is clearly structured and supported by evidence. Don't hesitate to reach out if you'd like to discuss any of the feedback — keep working at it, you can do this.</t>
  </si>
  <si>
    <t>I know this might not be the result you were hoping for, but please don't be discouraged. Use the feedback above to identify the specific areas to work on, and take advantage of the support available — office hours, the academic skills team, and the course materials. Improvement is very achievable with the right focus.</t>
  </si>
  <si>
    <t>HOW THE KITCHEN USES THIS SHEET:  The Kitchen looks up the student's final grade (A+ through D) directly in column A to pull the matching Intro (col C) and Outro (col D) paragraphs into the Cooked Feedback block. Each grade has its own individually tailored opening and closing tone. Edit the yellow cells above to adjust the wording for your cohort.</t>
  </si>
  <si>
    <t>One unique Intro &amp; Outro per grade (A+ through D)  |  Edit the yellow cells to customise tone for your cohort</t>
  </si>
  <si>
    <t>Excellent
A+</t>
  </si>
  <si>
    <t>Excellent
A</t>
  </si>
  <si>
    <t>Excellent
A-</t>
  </si>
  <si>
    <t>Proficient
B+</t>
  </si>
  <si>
    <t>Proficient
B</t>
  </si>
  <si>
    <t>Proficient
B-</t>
  </si>
  <si>
    <t>Developing
C+</t>
  </si>
  <si>
    <t xml:space="preserve">Developing
C </t>
  </si>
  <si>
    <t>Developing
C-</t>
  </si>
  <si>
    <t>This is the standard to aspire to. Your analysis is exemplary in its depth, structure, and communication. Continue to challenge yourself and push the boundaries of your thinking. Outstanding effort &amp; you should be very proud of this work.</t>
  </si>
  <si>
    <t>Overall, this is an excellent submission that is well-structured, well-argued, and well-written. You should feel confident about the quality of this work. Keep building on these strengths and continue pushing your analysis to the next level. Excellent effort, keep it up!</t>
  </si>
  <si>
    <t>This is a very strong submission with several areas of genuine quality. The gap to the top band is narrow, so focus on the specific feedback above to sharpen your analysis and strengthen your evidence base. You're clearly capable of producing top-tier work - keep refining your approach.</t>
  </si>
  <si>
    <t>You've produced a good piece of work with real strengths. To move into the A range, focus on deepening your analysis, supporting claims with stronger evidence, and ensuring consistency across all sections. You're not far off - keep pushing and the next step up is very achievable.</t>
  </si>
  <si>
    <t>Overall, this is a competent and well-considered submission. You've shown a good grasp of the 5Cs framework and made a genuine effort throughout. Focus on the areas flagged above to strengthen the depth and rigour of your analysis. Good work - keep pushing forward and you'll continue to improve.</t>
  </si>
  <si>
    <t>The building blocks are here and you're heading in the right direction. Focus on the feedback above - particularly around depth of analysis, use of evidence, and clarity of argument. With some focused effort on these areas, a B or higher is well within your reach next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</si>
</sst>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0.0"/>
    <numFmt numFmtId="165" formatCode="0&quot; pts&quot;"/>
    <numFmt numFmtId="166" formatCode="dd/mm/yyyy"/>
    <numFmt numFmtId="167" formatCode="&quot;$&quot;#,##0.00"/>
  </numFmts>
  <fonts count="64" x14ac:knownFonts="1">
    <font>
      <sz val="11"/>
      <color theme="1"/>
      <name val="Calibri"/>
      <family val="2"/>
      <charset val="1"/>
    </font>
    <font>
      <b/>
      <sz val="13"/>
      <color rgb="FFFFFFFF"/>
      <name val="Arial"/>
      <family val="2"/>
    </font>
    <font>
      <b/>
      <sz val="10"/>
      <color rgb="FF003B6F"/>
      <name val="Arial"/>
      <family val="2"/>
    </font>
    <font>
      <b/>
      <sz val="9"/>
      <color rgb="FFFFFFFF"/>
      <name val="Arial"/>
      <family val="2"/>
    </font>
    <font>
      <b/>
      <sz val="9"/>
      <color rgb="FF155724"/>
      <name val="Arial"/>
      <family val="2"/>
    </font>
    <font>
      <sz val="9"/>
      <color rgb="FF155724"/>
      <name val="Arial"/>
      <family val="2"/>
    </font>
    <font>
      <b/>
      <sz val="9"/>
      <color rgb="FF004085"/>
      <name val="Arial"/>
      <family val="2"/>
    </font>
    <font>
      <sz val="9"/>
      <color rgb="FF004085"/>
      <name val="Arial"/>
      <family val="2"/>
    </font>
    <font>
      <b/>
      <sz val="9"/>
      <color rgb="FF856404"/>
      <name val="Arial"/>
      <family val="2"/>
    </font>
    <font>
      <sz val="9"/>
      <color rgb="FF856404"/>
      <name val="Arial"/>
      <family val="2"/>
    </font>
    <font>
      <b/>
      <sz val="9"/>
      <color rgb="FF721C24"/>
      <name val="Arial"/>
      <family val="2"/>
    </font>
    <font>
      <sz val="9"/>
      <color rgb="FF721C24"/>
      <name val="Arial"/>
      <family val="2"/>
    </font>
    <font>
      <b/>
      <sz val="9"/>
      <color rgb="FF003B6F"/>
      <name val="Arial"/>
      <family val="2"/>
    </font>
    <font>
      <sz val="9"/>
      <name val="Arial"/>
      <family val="2"/>
    </font>
    <font>
      <sz val="9"/>
      <color rgb="FFFFFFFF"/>
      <name val="Arial"/>
      <family val="2"/>
    </font>
    <font>
      <sz val="9"/>
      <color rgb="FF000000"/>
      <name val="Arial"/>
      <family val="2"/>
    </font>
    <font>
      <b/>
      <sz val="9"/>
      <color rgb="FF000000"/>
      <name val="Arial"/>
      <family val="2"/>
    </font>
    <font>
      <b/>
      <sz val="11"/>
      <color rgb="FF003B6F"/>
      <name val="Arial"/>
      <family val="2"/>
    </font>
    <font>
      <sz val="9"/>
      <color rgb="FF1A5276"/>
      <name val="Arial"/>
      <family val="2"/>
    </font>
    <font>
      <sz val="8"/>
      <color rgb="FF888888"/>
      <name val="Arial"/>
      <family val="2"/>
    </font>
    <font>
      <i/>
      <sz val="9"/>
      <color rgb="FF000000"/>
      <name val="Arial"/>
      <family val="2"/>
    </font>
    <font>
      <b/>
      <sz val="8"/>
      <color rgb="FF9C0006"/>
      <name val="Arial"/>
      <family val="2"/>
    </font>
    <font>
      <sz val="14"/>
      <color rgb="FF003B6F"/>
      <name val="Arial"/>
      <family val="2"/>
    </font>
    <font>
      <b/>
      <sz val="9"/>
      <color rgb="FF922B21"/>
      <name val="Arial"/>
      <family val="2"/>
    </font>
    <font>
      <b/>
      <sz val="14"/>
      <color rgb="FF922B21"/>
      <name val="Arial"/>
      <family val="2"/>
    </font>
    <font>
      <b/>
      <sz val="14"/>
      <color rgb="FF155724"/>
      <name val="Arial"/>
      <family val="2"/>
    </font>
    <font>
      <b/>
      <sz val="14"/>
      <color rgb="FF003B6F"/>
      <name val="Arial"/>
      <family val="2"/>
    </font>
    <font>
      <b/>
      <sz val="16"/>
      <color rgb="FFFFFFFF"/>
      <name val="Arial"/>
      <family val="2"/>
    </font>
    <font>
      <b/>
      <sz val="12"/>
      <color rgb="FFFFFFFF"/>
      <name val="Arial"/>
      <family val="2"/>
    </font>
    <font>
      <i/>
      <sz val="8"/>
      <color rgb="FFFFFFFF"/>
      <name val="Arial"/>
      <family val="2"/>
    </font>
    <font>
      <b/>
      <sz val="11"/>
      <color rgb="FF155724"/>
      <name val="Arial"/>
      <family val="2"/>
    </font>
    <font>
      <b/>
      <sz val="11"/>
      <color rgb="FF1A5276"/>
      <name val="Arial"/>
      <family val="2"/>
    </font>
    <font>
      <b/>
      <sz val="10"/>
      <color rgb="FF000000"/>
      <name val="Arial"/>
      <family val="2"/>
    </font>
    <font>
      <i/>
      <sz val="8"/>
      <color rgb="FF777777"/>
      <name val="Arial"/>
      <family val="2"/>
    </font>
    <font>
      <b/>
      <sz val="12"/>
      <name val="Calibri"/>
      <family val="2"/>
    </font>
    <font>
      <b/>
      <sz val="11"/>
      <color theme="1"/>
      <name val="Calibri"/>
      <family val="2"/>
      <charset val="1"/>
    </font>
    <font>
      <b/>
      <i/>
      <sz val="12"/>
      <color rgb="FF555555"/>
      <name val="Arial"/>
      <family val="2"/>
    </font>
    <font>
      <i/>
      <sz val="12"/>
      <color rgb="FF555555"/>
      <name val="Arial"/>
      <family val="2"/>
    </font>
    <font>
      <i/>
      <sz val="12"/>
      <color rgb="FFFFFF00"/>
      <name val="Arial"/>
      <family val="2"/>
    </font>
    <font>
      <i/>
      <sz val="12"/>
      <color rgb="FF00B0F0"/>
      <name val="Arial"/>
      <family val="2"/>
    </font>
    <font>
      <b/>
      <i/>
      <sz val="12"/>
      <color rgb="FFFF0000"/>
      <name val="Arial"/>
      <family val="2"/>
    </font>
    <font>
      <b/>
      <i/>
      <sz val="9"/>
      <color rgb="FFAAAAAA"/>
      <name val="Arial"/>
      <family val="2"/>
    </font>
    <font>
      <sz val="9"/>
      <color theme="1"/>
      <name val="Arial"/>
      <family val="2"/>
    </font>
    <font>
      <b/>
      <sz val="9"/>
      <color theme="1"/>
      <name val="Arial"/>
      <family val="2"/>
    </font>
    <font>
      <sz val="11"/>
      <color theme="1"/>
      <name val="Calibri"/>
      <family val="2"/>
      <charset val="1"/>
    </font>
    <font>
      <i/>
      <sz val="8"/>
      <color rgb="FF555555"/>
      <name val="Arial"/>
      <family val="2"/>
    </font>
    <font>
      <sz val="8"/>
      <color theme="1"/>
      <name val="Calibri"/>
      <family val="2"/>
      <charset val="1"/>
    </font>
    <font>
      <i/>
      <sz val="10"/>
      <color rgb="FF555555"/>
      <name val="Arial"/>
      <family val="2"/>
    </font>
    <font>
      <sz val="10"/>
      <color theme="1"/>
      <name val="Calibri"/>
      <family val="2"/>
      <charset val="1"/>
    </font>
    <font>
      <b/>
      <sz val="16"/>
      <color theme="9" tint="-0.249977111117893"/>
      <name val="Calibri"/>
      <family val="2"/>
    </font>
    <font>
      <sz val="11"/>
      <color theme="9" tint="-0.249977111117893"/>
      <name val="Calibri"/>
      <family val="2"/>
    </font>
    <font>
      <b/>
      <sz val="11"/>
      <color theme="9" tint="-0.249977111117893"/>
      <name val="Calibri"/>
      <family val="2"/>
    </font>
    <font>
      <i/>
      <sz val="10"/>
      <color rgb="FFFFFFFF"/>
      <name val="Arial"/>
      <family val="2"/>
    </font>
    <font>
      <b/>
      <sz val="10"/>
      <color rgb="FFFF0000"/>
      <name val="Arial"/>
      <family val="2"/>
    </font>
    <font>
      <b/>
      <sz val="11"/>
      <color rgb="FFFF0000"/>
      <name val="Calibri"/>
      <family val="2"/>
    </font>
    <font>
      <i/>
      <sz val="11"/>
      <color theme="1"/>
      <name val="Calibri"/>
      <family val="2"/>
      <charset val="1"/>
    </font>
    <font>
      <b/>
      <sz val="11"/>
      <color theme="1"/>
      <name val="Calibri"/>
      <family val="2"/>
    </font>
    <font>
      <b/>
      <sz val="9"/>
      <color indexed="81"/>
      <name val="Tahoma"/>
      <family val="2"/>
    </font>
    <font>
      <b/>
      <i/>
      <sz val="9"/>
      <color rgb="FF003B6F"/>
      <name val="Arial"/>
      <family val="2"/>
    </font>
    <font>
      <b/>
      <sz val="12"/>
      <color theme="1"/>
      <name val="Calibri"/>
      <family val="2"/>
      <charset val="1"/>
    </font>
    <font>
      <b/>
      <sz val="12"/>
      <color theme="0" tint="-0.499984740745262"/>
      <name val="Calibri"/>
      <family val="2"/>
    </font>
    <font>
      <sz val="11"/>
      <color theme="0" tint="-0.499984740745262"/>
      <name val="Calibri"/>
      <family val="2"/>
    </font>
    <font>
      <b/>
      <sz val="11"/>
      <color theme="0" tint="-0.499984740745262"/>
      <name val="Calibri"/>
      <family val="2"/>
    </font>
    <font>
      <sz val="8"/>
      <color rgb="FFFFFFFF"/>
      <name val="Calibri"/>
      <family val="2"/>
      <charset val="1"/>
    </font>
  </fonts>
  <fills count="32">
    <fill>
      <patternFill patternType="none"/>
    </fill>
    <fill>
      <patternFill patternType="gray125"/>
    </fill>
    <fill>
      <patternFill patternType="solid">
        <fgColor rgb="FF003B6F"/>
        <bgColor rgb="FF004085"/>
      </patternFill>
    </fill>
    <fill>
      <patternFill patternType="solid">
        <fgColor rgb="FFF2F2F2"/>
        <bgColor rgb="FFEBF5FB"/>
      </patternFill>
    </fill>
    <fill>
      <patternFill patternType="solid">
        <fgColor rgb="FFD4EDDA"/>
        <bgColor rgb="FFC6EFCE"/>
      </patternFill>
    </fill>
    <fill>
      <patternFill patternType="solid">
        <fgColor rgb="FFCCE5FF"/>
        <bgColor rgb="FFD4EDDA"/>
      </patternFill>
    </fill>
    <fill>
      <patternFill patternType="solid">
        <fgColor rgb="FFFFF3CD"/>
        <bgColor rgb="FFFFF2CC"/>
      </patternFill>
    </fill>
    <fill>
      <patternFill patternType="solid">
        <fgColor rgb="FFF8D7DA"/>
        <bgColor rgb="FFFFCCCC"/>
      </patternFill>
    </fill>
    <fill>
      <patternFill patternType="solid">
        <fgColor rgb="FFD9D9D9"/>
        <bgColor rgb="FFD4EDDA"/>
      </patternFill>
    </fill>
    <fill>
      <patternFill patternType="solid">
        <fgColor rgb="FFFFFFFF"/>
        <bgColor rgb="FFFEF9E7"/>
      </patternFill>
    </fill>
    <fill>
      <patternFill patternType="solid">
        <fgColor rgb="FF1A5276"/>
        <bgColor rgb="FF004085"/>
      </patternFill>
    </fill>
    <fill>
      <patternFill patternType="solid">
        <fgColor rgb="FFFFF2CC"/>
        <bgColor rgb="FFFFF3CD"/>
      </patternFill>
    </fill>
    <fill>
      <patternFill patternType="solid">
        <fgColor rgb="FFD4AC0D"/>
        <bgColor rgb="FF99CC00"/>
      </patternFill>
    </fill>
    <fill>
      <patternFill patternType="solid">
        <fgColor rgb="FFEBF5FB"/>
        <bgColor rgb="FFF2F2F2"/>
      </patternFill>
    </fill>
    <fill>
      <patternFill patternType="solid">
        <fgColor rgb="FFFDEDEC"/>
        <bgColor rgb="FFF2F2F2"/>
      </patternFill>
    </fill>
    <fill>
      <patternFill patternType="solid">
        <fgColor rgb="FFE8F8E8"/>
        <bgColor rgb="FFEBF5FB"/>
      </patternFill>
    </fill>
    <fill>
      <patternFill patternType="solid">
        <fgColor rgb="FF003B6F"/>
        <bgColor indexed="64"/>
      </patternFill>
    </fill>
    <fill>
      <patternFill patternType="solid">
        <fgColor theme="2"/>
        <bgColor indexed="64"/>
      </patternFill>
    </fill>
    <fill>
      <patternFill patternType="solid">
        <fgColor rgb="FFEBF5FB"/>
        <bgColor indexed="64"/>
      </patternFill>
    </fill>
    <fill>
      <patternFill patternType="solid">
        <fgColor rgb="FFFFFF00"/>
        <bgColor indexed="64"/>
      </patternFill>
    </fill>
    <fill>
      <patternFill patternType="solid">
        <fgColor rgb="FFFFFFFF"/>
        <bgColor indexed="64"/>
      </patternFill>
    </fill>
    <fill>
      <patternFill patternType="solid">
        <fgColor rgb="FFD4EDDA"/>
        <bgColor indexed="64"/>
      </patternFill>
    </fill>
    <fill>
      <patternFill patternType="solid">
        <fgColor rgb="FFE8F8E8"/>
        <bgColor indexed="64"/>
      </patternFill>
    </fill>
    <fill>
      <patternFill patternType="solid">
        <fgColor rgb="FFCCE5FF"/>
        <bgColor indexed="64"/>
      </patternFill>
    </fill>
    <fill>
      <patternFill patternType="solid">
        <fgColor rgb="FFFFF3CD"/>
        <bgColor indexed="64"/>
      </patternFill>
    </fill>
    <fill>
      <patternFill patternType="solid">
        <fgColor rgb="FFFEF9E7"/>
        <bgColor indexed="64"/>
      </patternFill>
    </fill>
    <fill>
      <patternFill patternType="solid">
        <fgColor rgb="FFF8D7DA"/>
        <bgColor indexed="64"/>
      </patternFill>
    </fill>
    <fill>
      <patternFill patternType="solid">
        <fgColor rgb="FFF2F2F2"/>
        <bgColor indexed="64"/>
      </patternFill>
    </fill>
    <fill>
      <patternFill patternType="solid">
        <fgColor rgb="FFCCFF99"/>
        <bgColor indexed="64"/>
      </patternFill>
    </fill>
    <fill>
      <patternFill patternType="solid">
        <fgColor rgb="FF66CCFF"/>
        <bgColor indexed="64"/>
      </patternFill>
    </fill>
    <fill>
      <patternFill patternType="solid">
        <fgColor rgb="FFE4CAE0"/>
        <bgColor indexed="64"/>
      </patternFill>
    </fill>
    <fill>
      <patternFill patternType="solid">
        <fgColor rgb="FFFFFFCC"/>
        <bgColor indexed="64"/>
      </patternFill>
    </fill>
  </fills>
  <borders count="30">
    <border>
      <left/>
      <right/>
      <top/>
      <bottom/>
      <diagonal/>
    </border>
    <border>
      <left style="thin">
        <color rgb="FFBBBBBB"/>
      </left>
      <right style="thin">
        <color rgb="FFBBBBBB"/>
      </right>
      <top style="thin">
        <color rgb="FFBBBBBB"/>
      </top>
      <bottom style="thin">
        <color rgb="FFBBBBBB"/>
      </bottom>
      <diagonal/>
    </border>
    <border>
      <left style="thin">
        <color rgb="FFD4AC0D"/>
      </left>
      <right style="thin">
        <color rgb="FFD4AC0D"/>
      </right>
      <top style="thin">
        <color rgb="FFD4AC0D"/>
      </top>
      <bottom style="thin">
        <color rgb="FFD4AC0D"/>
      </bottom>
      <diagonal/>
    </border>
    <border>
      <left style="thin">
        <color rgb="FF0070C0"/>
      </left>
      <right style="thin">
        <color rgb="FF0070C0"/>
      </right>
      <top style="thin">
        <color rgb="FF0070C0"/>
      </top>
      <bottom style="thin">
        <color rgb="FF0070C0"/>
      </bottom>
      <diagonal/>
    </border>
    <border>
      <left style="thin">
        <color rgb="FF1A5276"/>
      </left>
      <right style="thin">
        <color rgb="FF1A5276"/>
      </right>
      <top style="thin">
        <color rgb="FF1A5276"/>
      </top>
      <bottom style="thin">
        <color rgb="FF1A5276"/>
      </bottom>
      <diagonal/>
    </border>
    <border>
      <left/>
      <right style="thin">
        <color rgb="FFBBBBBB"/>
      </right>
      <top style="thin">
        <color rgb="FFBBBBBB"/>
      </top>
      <bottom style="thin">
        <color rgb="FFBBBBBB"/>
      </bottom>
      <diagonal/>
    </border>
    <border>
      <left/>
      <right/>
      <top style="thin">
        <color rgb="FF1A5276"/>
      </top>
      <bottom/>
      <diagonal/>
    </border>
    <border>
      <left style="thin">
        <color rgb="FF1A5276"/>
      </left>
      <right/>
      <top/>
      <bottom/>
      <diagonal/>
    </border>
    <border>
      <left/>
      <right style="thin">
        <color rgb="FF1A5276"/>
      </right>
      <top style="thin">
        <color rgb="FF1A5276"/>
      </top>
      <bottom/>
      <diagonal/>
    </border>
    <border>
      <left/>
      <right style="thin">
        <color rgb="FF1A5276"/>
      </right>
      <top/>
      <bottom/>
      <diagonal/>
    </border>
    <border>
      <left style="thin">
        <color rgb="FF1A5276"/>
      </left>
      <right/>
      <top/>
      <bottom style="thin">
        <color rgb="FF1A5276"/>
      </bottom>
      <diagonal/>
    </border>
    <border>
      <left/>
      <right/>
      <top/>
      <bottom style="thin">
        <color rgb="FF1A5276"/>
      </bottom>
      <diagonal/>
    </border>
    <border>
      <left/>
      <right style="thin">
        <color rgb="FF1A5276"/>
      </right>
      <top/>
      <bottom style="thin">
        <color rgb="FF1A5276"/>
      </bottom>
      <diagonal/>
    </border>
    <border>
      <left/>
      <right/>
      <top style="thin">
        <color rgb="FFD4AC0D"/>
      </top>
      <bottom/>
      <diagonal/>
    </border>
    <border>
      <left style="thin">
        <color rgb="FFD4AC0D"/>
      </left>
      <right/>
      <top/>
      <bottom/>
      <diagonal/>
    </border>
    <border>
      <left/>
      <right style="thin">
        <color rgb="FFD4AC0D"/>
      </right>
      <top style="thin">
        <color rgb="FFD4AC0D"/>
      </top>
      <bottom/>
      <diagonal/>
    </border>
    <border>
      <left/>
      <right style="thin">
        <color rgb="FFD4AC0D"/>
      </right>
      <top/>
      <bottom/>
      <diagonal/>
    </border>
    <border>
      <left style="thin">
        <color rgb="FFD4AC0D"/>
      </left>
      <right/>
      <top/>
      <bottom style="thin">
        <color rgb="FFD4AC0D"/>
      </bottom>
      <diagonal/>
    </border>
    <border>
      <left/>
      <right/>
      <top/>
      <bottom style="thin">
        <color rgb="FFD4AC0D"/>
      </bottom>
      <diagonal/>
    </border>
    <border>
      <left/>
      <right style="thin">
        <color rgb="FFD4AC0D"/>
      </right>
      <top/>
      <bottom style="thin">
        <color rgb="FFD4AC0D"/>
      </bottom>
      <diagonal/>
    </border>
    <border>
      <left/>
      <right/>
      <top style="thin">
        <color rgb="FFBBBBBB"/>
      </top>
      <bottom style="thin">
        <color rgb="FFBBBBBB"/>
      </bottom>
      <diagonal/>
    </border>
    <border>
      <left/>
      <right/>
      <top style="thin">
        <color rgb="FFD4AC0D"/>
      </top>
      <bottom style="thin">
        <color rgb="FFD4AC0D"/>
      </bottom>
      <diagonal/>
    </border>
    <border>
      <left/>
      <right style="thin">
        <color rgb="FFD4AC0D"/>
      </right>
      <top style="thin">
        <color rgb="FFD4AC0D"/>
      </top>
      <bottom style="thin">
        <color rgb="FFD4AC0D"/>
      </bottom>
      <diagonal/>
    </border>
    <border>
      <left style="thin">
        <color rgb="FFBBBBBB"/>
      </left>
      <right/>
      <top/>
      <bottom/>
      <diagonal/>
    </border>
    <border>
      <left style="thin">
        <color rgb="FFBBBBBB"/>
      </left>
      <right/>
      <top style="thin">
        <color rgb="FFBBBBBB"/>
      </top>
      <bottom style="thin">
        <color rgb="FFBBBBBB"/>
      </bottom>
      <diagonal/>
    </border>
    <border>
      <left style="thin">
        <color rgb="FFBBBBBB"/>
      </left>
      <right style="thin">
        <color rgb="FFBBBBBB"/>
      </right>
      <top style="thin">
        <color rgb="FFBBBBBB"/>
      </top>
      <bottom/>
      <diagonal/>
    </border>
    <border>
      <left style="thin">
        <color rgb="FFD4AC0D"/>
      </left>
      <right style="thin">
        <color rgb="FFD4AC0D"/>
      </right>
      <top style="thin">
        <color rgb="FFD4AC0D"/>
      </top>
      <bottom/>
      <diagonal/>
    </border>
    <border>
      <left style="thin">
        <color rgb="FFBBBBBB"/>
      </left>
      <right/>
      <top style="thin">
        <color rgb="FFBBBBBB"/>
      </top>
      <bottom/>
      <diagonal/>
    </border>
    <border>
      <left style="thin">
        <color rgb="FFBBBBBB"/>
      </left>
      <right style="thin">
        <color rgb="FFBBBBBB"/>
      </right>
      <top/>
      <bottom style="thin">
        <color rgb="FFBBBBBB"/>
      </bottom>
      <diagonal/>
    </border>
    <border>
      <left style="thin">
        <color rgb="FFBBBBBB"/>
      </left>
      <right style="thin">
        <color rgb="FFD4AC0D"/>
      </right>
      <top style="thin">
        <color rgb="FFBBBBBB"/>
      </top>
      <bottom style="thin">
        <color rgb="FFBBBBBB"/>
      </bottom>
      <diagonal/>
    </border>
  </borders>
  <cellStyleXfs count="2">
    <xf numFmtId="0" fontId="0" fillId="0" borderId="0"/>
    <xf numFmtId="44" fontId="44" fillId="0" borderId="0" applyFont="0" applyFill="0" applyBorder="0" applyAlignment="0" applyProtection="0"/>
  </cellStyleXfs>
  <cellXfs count="152">
    <xf numFmtId="0" fontId="0" fillId="0" borderId="0" xfId="0"/>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left" vertical="top"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left" vertical="top" wrapText="1"/>
    </xf>
    <xf numFmtId="0" fontId="10" fillId="7" borderId="1" xfId="0" applyFont="1" applyFill="1" applyBorder="1" applyAlignment="1">
      <alignment horizontal="center" vertical="center" wrapText="1"/>
    </xf>
    <xf numFmtId="0" fontId="11" fillId="7" borderId="1" xfId="0" applyFont="1" applyFill="1" applyBorder="1" applyAlignment="1">
      <alignment horizontal="left" vertical="top" wrapText="1"/>
    </xf>
    <xf numFmtId="0" fontId="2" fillId="8"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2" fillId="0" borderId="0" xfId="0" applyFont="1" applyAlignment="1">
      <alignment horizontal="right" vertical="center"/>
    </xf>
    <xf numFmtId="0" fontId="3" fillId="12" borderId="1" xfId="0" applyFont="1" applyFill="1" applyBorder="1" applyAlignment="1">
      <alignment horizontal="center" vertical="center" wrapText="1"/>
    </xf>
    <xf numFmtId="0" fontId="16" fillId="3" borderId="1" xfId="0" applyFont="1" applyFill="1" applyBorder="1" applyAlignment="1">
      <alignment horizontal="left" vertical="center"/>
    </xf>
    <xf numFmtId="0" fontId="15" fillId="3" borderId="1" xfId="0" applyFont="1" applyFill="1" applyBorder="1" applyAlignment="1">
      <alignment horizontal="center" vertical="center" wrapText="1"/>
    </xf>
    <xf numFmtId="1" fontId="18" fillId="13" borderId="1" xfId="0" applyNumberFormat="1" applyFont="1" applyFill="1" applyBorder="1" applyAlignment="1">
      <alignment horizontal="center" vertical="center" wrapText="1"/>
    </xf>
    <xf numFmtId="1" fontId="4" fillId="13" borderId="1" xfId="0"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6" fillId="9" borderId="1" xfId="0" applyFont="1" applyFill="1" applyBorder="1" applyAlignment="1">
      <alignment horizontal="left" vertical="center"/>
    </xf>
    <xf numFmtId="0" fontId="15" fillId="9"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2" fillId="3" borderId="1" xfId="0" applyFont="1" applyFill="1" applyBorder="1" applyAlignment="1">
      <alignment horizontal="left" vertical="center"/>
    </xf>
    <xf numFmtId="1" fontId="32" fillId="11" borderId="2" xfId="0" applyNumberFormat="1" applyFont="1" applyFill="1" applyBorder="1" applyAlignment="1">
      <alignment horizontal="center" vertical="center"/>
    </xf>
    <xf numFmtId="0" fontId="12" fillId="13" borderId="1" xfId="0" applyFont="1" applyFill="1" applyBorder="1" applyAlignment="1">
      <alignment horizontal="left" vertical="center"/>
    </xf>
    <xf numFmtId="164" fontId="31" fillId="13" borderId="1" xfId="0" applyNumberFormat="1" applyFont="1" applyFill="1" applyBorder="1" applyAlignment="1">
      <alignment horizontal="center" vertical="center" wrapText="1"/>
    </xf>
    <xf numFmtId="0" fontId="4" fillId="15" borderId="1" xfId="0" applyFont="1" applyFill="1" applyBorder="1" applyAlignment="1">
      <alignment horizontal="left" vertical="center"/>
    </xf>
    <xf numFmtId="164" fontId="30" fillId="15" borderId="1" xfId="0" applyNumberFormat="1" applyFont="1" applyFill="1" applyBorder="1" applyAlignment="1">
      <alignment horizontal="center" vertical="center" wrapText="1"/>
    </xf>
    <xf numFmtId="1" fontId="30" fillId="15" borderId="1" xfId="0" applyNumberFormat="1" applyFont="1" applyFill="1" applyBorder="1" applyAlignment="1">
      <alignment horizontal="center" vertical="center" wrapText="1"/>
    </xf>
    <xf numFmtId="49" fontId="31" fillId="13" borderId="1" xfId="0" applyNumberFormat="1" applyFont="1" applyFill="1" applyBorder="1" applyAlignment="1">
      <alignment horizontal="center" vertical="center" wrapText="1"/>
    </xf>
    <xf numFmtId="0" fontId="0" fillId="0" borderId="0" xfId="0" applyAlignment="1">
      <alignment vertical="top" wrapText="1"/>
    </xf>
    <xf numFmtId="0" fontId="3" fillId="16" borderId="0" xfId="0" applyFont="1" applyFill="1" applyAlignment="1">
      <alignment horizontal="center"/>
    </xf>
    <xf numFmtId="0" fontId="42" fillId="0" borderId="0" xfId="0" applyFont="1"/>
    <xf numFmtId="0" fontId="42" fillId="0" borderId="0" xfId="0" applyFont="1" applyAlignment="1">
      <alignment horizontal="center"/>
    </xf>
    <xf numFmtId="0" fontId="43" fillId="0" borderId="0" xfId="0" applyFont="1" applyAlignment="1">
      <alignment horizontal="center"/>
    </xf>
    <xf numFmtId="0" fontId="3" fillId="16" borderId="0" xfId="0" applyFont="1" applyFill="1" applyAlignment="1">
      <alignment horizontal="right"/>
    </xf>
    <xf numFmtId="0" fontId="49" fillId="0" borderId="0" xfId="0" applyFont="1" applyAlignment="1">
      <alignment vertical="top" wrapText="1"/>
    </xf>
    <xf numFmtId="0" fontId="35" fillId="17" borderId="0" xfId="0" applyFont="1" applyFill="1" applyAlignment="1">
      <alignment horizontal="center" vertical="center" wrapText="1"/>
    </xf>
    <xf numFmtId="0" fontId="0" fillId="17" borderId="0" xfId="0" applyFill="1" applyAlignment="1">
      <alignment horizontal="center" vertical="top" wrapText="1"/>
    </xf>
    <xf numFmtId="167" fontId="31" fillId="13" borderId="1" xfId="1" applyNumberFormat="1" applyFont="1" applyFill="1" applyBorder="1" applyAlignment="1">
      <alignment horizontal="center" vertical="center" wrapText="1"/>
    </xf>
    <xf numFmtId="0" fontId="12" fillId="13" borderId="1" xfId="0" applyFont="1" applyFill="1" applyBorder="1" applyAlignment="1">
      <alignment horizontal="left" vertical="center" wrapText="1"/>
    </xf>
    <xf numFmtId="0" fontId="35" fillId="17" borderId="0" xfId="0" applyFont="1" applyFill="1"/>
    <xf numFmtId="0" fontId="0" fillId="17" borderId="0" xfId="0" applyFill="1" applyAlignment="1">
      <alignment vertical="top" wrapText="1"/>
    </xf>
    <xf numFmtId="0" fontId="35" fillId="0" borderId="0" xfId="0" applyFont="1" applyAlignment="1">
      <alignment vertical="top" wrapText="1"/>
    </xf>
    <xf numFmtId="0" fontId="60" fillId="0" borderId="0" xfId="0" applyFont="1" applyAlignment="1">
      <alignment vertical="top" wrapText="1"/>
    </xf>
    <xf numFmtId="0" fontId="61" fillId="0" borderId="0" xfId="0" applyFont="1" applyAlignment="1">
      <alignment vertical="top" wrapText="1"/>
    </xf>
    <xf numFmtId="0" fontId="34" fillId="19" borderId="0" xfId="0" applyFont="1" applyFill="1" applyAlignment="1">
      <alignment vertical="top" wrapText="1"/>
    </xf>
    <xf numFmtId="0" fontId="59" fillId="19" borderId="0" xfId="0" applyFont="1" applyFill="1" applyAlignment="1">
      <alignment vertical="top" wrapText="1"/>
    </xf>
    <xf numFmtId="0" fontId="62" fillId="0" borderId="0" xfId="0" applyFont="1" applyAlignment="1">
      <alignment vertical="top" wrapText="1"/>
    </xf>
    <xf numFmtId="0" fontId="0" fillId="0" borderId="0" xfId="0" applyProtection="1">
      <protection locked="0"/>
    </xf>
    <xf numFmtId="0" fontId="15" fillId="11" borderId="2" xfId="0" applyFont="1" applyFill="1" applyBorder="1" applyAlignment="1" applyProtection="1">
      <alignment horizontal="left" vertical="center"/>
      <protection locked="0"/>
    </xf>
    <xf numFmtId="166" fontId="15" fillId="11" borderId="2" xfId="0" applyNumberFormat="1" applyFont="1" applyFill="1" applyBorder="1" applyAlignment="1" applyProtection="1">
      <alignment horizontal="left" vertical="center"/>
      <protection locked="0"/>
    </xf>
    <xf numFmtId="0" fontId="17" fillId="9" borderId="3" xfId="0" applyFont="1" applyFill="1" applyBorder="1" applyAlignment="1" applyProtection="1">
      <alignment horizontal="center" vertical="center" wrapText="1"/>
      <protection locked="0"/>
    </xf>
    <xf numFmtId="0" fontId="15" fillId="11" borderId="2" xfId="0" applyFont="1" applyFill="1" applyBorder="1" applyAlignment="1" applyProtection="1">
      <alignment horizontal="center" vertical="center" wrapText="1"/>
      <protection locked="0"/>
    </xf>
    <xf numFmtId="0" fontId="63" fillId="20" borderId="0" xfId="0" applyFont="1" applyFill="1"/>
    <xf numFmtId="0" fontId="15" fillId="11" borderId="26" xfId="0" applyFont="1" applyFill="1" applyBorder="1" applyAlignment="1" applyProtection="1">
      <alignment horizontal="left" vertical="center"/>
      <protection locked="0"/>
    </xf>
    <xf numFmtId="0" fontId="3" fillId="2" borderId="28" xfId="0" applyFont="1" applyFill="1" applyBorder="1" applyAlignment="1">
      <alignment horizontal="center" vertical="center" wrapText="1"/>
    </xf>
    <xf numFmtId="0" fontId="6" fillId="18" borderId="0" xfId="0" applyFont="1" applyFill="1" applyAlignment="1">
      <alignment horizontal="center"/>
    </xf>
    <xf numFmtId="0" fontId="0" fillId="0" borderId="0" xfId="0" applyAlignment="1">
      <alignment wrapText="1"/>
    </xf>
    <xf numFmtId="0" fontId="3" fillId="16" borderId="27" xfId="0" applyFont="1" applyFill="1" applyBorder="1" applyAlignment="1">
      <alignment horizontal="center" wrapText="1"/>
    </xf>
    <xf numFmtId="0" fontId="3" fillId="16" borderId="25" xfId="0" applyFont="1" applyFill="1" applyBorder="1" applyAlignment="1">
      <alignment horizontal="center" wrapText="1"/>
    </xf>
    <xf numFmtId="0" fontId="3" fillId="16" borderId="1" xfId="0" applyFont="1" applyFill="1" applyBorder="1" applyAlignment="1">
      <alignment horizontal="center" wrapText="1"/>
    </xf>
    <xf numFmtId="0" fontId="4" fillId="21" borderId="24" xfId="0" applyFont="1" applyFill="1" applyBorder="1" applyAlignment="1">
      <alignment horizontal="center" wrapText="1"/>
    </xf>
    <xf numFmtId="0" fontId="4" fillId="22" borderId="24" xfId="0" applyFont="1" applyFill="1" applyBorder="1" applyAlignment="1">
      <alignment horizontal="center" wrapText="1"/>
    </xf>
    <xf numFmtId="0" fontId="6" fillId="23" borderId="24" xfId="0" applyFont="1" applyFill="1" applyBorder="1" applyAlignment="1">
      <alignment horizontal="center" wrapText="1"/>
    </xf>
    <xf numFmtId="0" fontId="6" fillId="18" borderId="24" xfId="0" applyFont="1" applyFill="1" applyBorder="1" applyAlignment="1">
      <alignment horizontal="center" wrapText="1"/>
    </xf>
    <xf numFmtId="0" fontId="8" fillId="24" borderId="24" xfId="0" applyFont="1" applyFill="1" applyBorder="1" applyAlignment="1">
      <alignment horizontal="center" wrapText="1"/>
    </xf>
    <xf numFmtId="0" fontId="8" fillId="25" borderId="24" xfId="0" applyFont="1" applyFill="1" applyBorder="1" applyAlignment="1">
      <alignment horizontal="center" wrapText="1"/>
    </xf>
    <xf numFmtId="0" fontId="10" fillId="26" borderId="24" xfId="0" applyFont="1" applyFill="1" applyBorder="1" applyAlignment="1">
      <alignment horizontal="center" wrapText="1"/>
    </xf>
    <xf numFmtId="0" fontId="47" fillId="27" borderId="0" xfId="0" applyFont="1" applyFill="1" applyAlignment="1">
      <alignment horizontal="left" wrapText="1"/>
    </xf>
    <xf numFmtId="0" fontId="4" fillId="28" borderId="29" xfId="0" applyFont="1" applyFill="1" applyBorder="1" applyAlignment="1">
      <alignment horizontal="center" vertical="center" wrapText="1"/>
    </xf>
    <xf numFmtId="0" fontId="6" fillId="29" borderId="29" xfId="0" applyFont="1" applyFill="1" applyBorder="1" applyAlignment="1">
      <alignment horizontal="center" vertical="center" wrapText="1"/>
    </xf>
    <xf numFmtId="0" fontId="8" fillId="31" borderId="29" xfId="0" applyFont="1" applyFill="1" applyBorder="1" applyAlignment="1">
      <alignment horizontal="center" vertical="center" wrapText="1"/>
    </xf>
    <xf numFmtId="0" fontId="10" fillId="30" borderId="29" xfId="0" applyFont="1" applyFill="1" applyBorder="1" applyAlignment="1">
      <alignment horizontal="center" vertical="center" wrapText="1"/>
    </xf>
    <xf numFmtId="0" fontId="42" fillId="28" borderId="22" xfId="0" applyFont="1" applyFill="1" applyBorder="1" applyAlignment="1" applyProtection="1">
      <alignment horizontal="left" wrapText="1"/>
      <protection locked="0"/>
    </xf>
    <xf numFmtId="0" fontId="42" fillId="28" borderId="2" xfId="0" applyFont="1" applyFill="1" applyBorder="1" applyAlignment="1" applyProtection="1">
      <alignment horizontal="left" wrapText="1"/>
      <protection locked="0"/>
    </xf>
    <xf numFmtId="0" fontId="42" fillId="29" borderId="22" xfId="0" applyFont="1" applyFill="1" applyBorder="1" applyAlignment="1" applyProtection="1">
      <alignment horizontal="left" wrapText="1"/>
      <protection locked="0"/>
    </xf>
    <xf numFmtId="0" fontId="42" fillId="29" borderId="2" xfId="0" applyFont="1" applyFill="1" applyBorder="1" applyAlignment="1" applyProtection="1">
      <alignment horizontal="left" wrapText="1"/>
      <protection locked="0"/>
    </xf>
    <xf numFmtId="0" fontId="42" fillId="31" borderId="22" xfId="0" applyFont="1" applyFill="1" applyBorder="1" applyAlignment="1" applyProtection="1">
      <alignment horizontal="left" wrapText="1"/>
      <protection locked="0"/>
    </xf>
    <xf numFmtId="0" fontId="42" fillId="31" borderId="2" xfId="0" applyFont="1" applyFill="1" applyBorder="1" applyAlignment="1" applyProtection="1">
      <alignment horizontal="left" wrapText="1"/>
      <protection locked="0"/>
    </xf>
    <xf numFmtId="0" fontId="42" fillId="30" borderId="22" xfId="0" applyFont="1" applyFill="1" applyBorder="1" applyAlignment="1" applyProtection="1">
      <alignment horizontal="left" wrapText="1"/>
      <protection locked="0"/>
    </xf>
    <xf numFmtId="0" fontId="42" fillId="30" borderId="2" xfId="0" applyFont="1" applyFill="1" applyBorder="1" applyAlignment="1" applyProtection="1">
      <alignment horizontal="left" wrapText="1"/>
      <protection locked="0"/>
    </xf>
    <xf numFmtId="0" fontId="37" fillId="3" borderId="0" xfId="0" applyFont="1" applyFill="1" applyAlignment="1">
      <alignment horizontal="left" vertical="center" wrapText="1"/>
    </xf>
    <xf numFmtId="0" fontId="0" fillId="0" borderId="0" xfId="0"/>
    <xf numFmtId="0" fontId="41" fillId="9" borderId="0" xfId="0" applyFont="1" applyFill="1" applyAlignment="1">
      <alignment horizontal="center" vertical="center" wrapText="1"/>
    </xf>
    <xf numFmtId="0" fontId="35" fillId="0" borderId="0" xfId="0" applyFont="1"/>
    <xf numFmtId="0" fontId="25" fillId="13" borderId="1" xfId="0" applyFont="1" applyFill="1" applyBorder="1" applyAlignment="1">
      <alignment horizontal="center" vertical="center" wrapText="1"/>
    </xf>
    <xf numFmtId="0" fontId="0" fillId="0" borderId="20" xfId="0" applyBorder="1"/>
    <xf numFmtId="0" fontId="0" fillId="0" borderId="5" xfId="0" applyBorder="1"/>
    <xf numFmtId="0" fontId="1" fillId="2" borderId="0" xfId="0" applyFont="1" applyFill="1" applyAlignment="1">
      <alignment horizontal="center" vertical="center" wrapText="1"/>
    </xf>
    <xf numFmtId="0" fontId="23" fillId="14" borderId="1" xfId="0" applyFont="1" applyFill="1" applyBorder="1" applyAlignment="1">
      <alignment horizontal="right" vertical="center"/>
    </xf>
    <xf numFmtId="0" fontId="14" fillId="10" borderId="0" xfId="0" applyFont="1" applyFill="1" applyAlignment="1">
      <alignment horizontal="center" vertical="center" wrapText="1"/>
    </xf>
    <xf numFmtId="0" fontId="3" fillId="2" borderId="1" xfId="0" applyFont="1" applyFill="1" applyBorder="1" applyAlignment="1">
      <alignment horizontal="right" vertical="center"/>
    </xf>
    <xf numFmtId="0" fontId="12" fillId="11" borderId="1" xfId="0" applyFont="1" applyFill="1" applyBorder="1" applyAlignment="1" applyProtection="1">
      <alignment horizontal="right" vertical="center"/>
      <protection locked="0"/>
    </xf>
    <xf numFmtId="0" fontId="0" fillId="0" borderId="20" xfId="0" applyBorder="1" applyProtection="1">
      <protection locked="0"/>
    </xf>
    <xf numFmtId="0" fontId="0" fillId="0" borderId="5" xfId="0" applyBorder="1" applyProtection="1">
      <protection locked="0"/>
    </xf>
    <xf numFmtId="165" fontId="24" fillId="14" borderId="1" xfId="0" applyNumberFormat="1" applyFont="1" applyFill="1" applyBorder="1" applyAlignment="1">
      <alignment horizontal="center" vertical="center" wrapText="1"/>
    </xf>
    <xf numFmtId="0" fontId="21" fillId="3" borderId="1" xfId="0" applyFont="1" applyFill="1" applyBorder="1" applyAlignment="1">
      <alignment horizontal="left" vertical="center"/>
    </xf>
    <xf numFmtId="0" fontId="15" fillId="11" borderId="2" xfId="0" applyFont="1" applyFill="1" applyBorder="1" applyAlignment="1" applyProtection="1">
      <alignment horizontal="left" vertical="top" wrapText="1"/>
      <protection locked="0"/>
    </xf>
    <xf numFmtId="0" fontId="0" fillId="0" borderId="13" xfId="0" applyBorder="1" applyProtection="1">
      <protection locked="0"/>
    </xf>
    <xf numFmtId="0" fontId="0" fillId="0" borderId="15" xfId="0" applyBorder="1" applyProtection="1">
      <protection locked="0"/>
    </xf>
    <xf numFmtId="0" fontId="0" fillId="0" borderId="14" xfId="0" applyBorder="1" applyProtection="1">
      <protection locked="0"/>
    </xf>
    <xf numFmtId="0" fontId="0" fillId="0" borderId="0" xfId="0" applyProtection="1">
      <protection locked="0"/>
    </xf>
    <xf numFmtId="0" fontId="0" fillId="0" borderId="16" xfId="0" applyBorder="1" applyProtection="1">
      <protection locked="0"/>
    </xf>
    <xf numFmtId="0" fontId="0" fillId="0" borderId="17" xfId="0" applyBorder="1" applyProtection="1">
      <protection locked="0"/>
    </xf>
    <xf numFmtId="0" fontId="0" fillId="0" borderId="18" xfId="0" applyBorder="1" applyProtection="1">
      <protection locked="0"/>
    </xf>
    <xf numFmtId="0" fontId="0" fillId="0" borderId="19" xfId="0" applyBorder="1" applyProtection="1">
      <protection locked="0"/>
    </xf>
    <xf numFmtId="0" fontId="27" fillId="2" borderId="1" xfId="0" applyFont="1" applyFill="1" applyBorder="1" applyAlignment="1">
      <alignment horizontal="center" vertical="center" wrapText="1"/>
    </xf>
    <xf numFmtId="0" fontId="26" fillId="11" borderId="2" xfId="0" applyFont="1" applyFill="1" applyBorder="1" applyAlignment="1" applyProtection="1">
      <alignment horizontal="center" vertical="center" wrapText="1"/>
      <protection locked="0"/>
    </xf>
    <xf numFmtId="0" fontId="0" fillId="0" borderId="21" xfId="0" applyBorder="1" applyProtection="1">
      <protection locked="0"/>
    </xf>
    <xf numFmtId="0" fontId="0" fillId="0" borderId="22" xfId="0" applyBorder="1" applyProtection="1">
      <protection locked="0"/>
    </xf>
    <xf numFmtId="0" fontId="12" fillId="3" borderId="1" xfId="0" applyFont="1" applyFill="1" applyBorder="1" applyAlignment="1">
      <alignment horizontal="right" vertical="center"/>
    </xf>
    <xf numFmtId="0" fontId="3" fillId="10" borderId="0" xfId="0" applyFont="1" applyFill="1" applyAlignment="1">
      <alignment horizontal="left" vertical="center" wrapText="1"/>
    </xf>
    <xf numFmtId="0" fontId="3" fillId="8" borderId="1" xfId="0" applyFont="1" applyFill="1" applyBorder="1" applyAlignment="1">
      <alignment horizontal="right" vertical="center"/>
    </xf>
    <xf numFmtId="0" fontId="4" fillId="13" borderId="1" xfId="0" applyFont="1" applyFill="1" applyBorder="1" applyAlignment="1">
      <alignment horizontal="right" vertical="center"/>
    </xf>
    <xf numFmtId="164" fontId="24" fillId="14" borderId="1" xfId="0" applyNumberFormat="1" applyFont="1" applyFill="1" applyBorder="1" applyAlignment="1">
      <alignment horizontal="center" vertical="center" wrapText="1"/>
    </xf>
    <xf numFmtId="0" fontId="13" fillId="13" borderId="4" xfId="0" applyFont="1" applyFill="1" applyBorder="1" applyAlignment="1">
      <alignment horizontal="left" vertical="top" wrapText="1"/>
    </xf>
    <xf numFmtId="0" fontId="0" fillId="0" borderId="6" xfId="0" applyBorder="1"/>
    <xf numFmtId="0" fontId="0" fillId="0" borderId="8" xfId="0" applyBorder="1"/>
    <xf numFmtId="0" fontId="0" fillId="0" borderId="7" xfId="0" applyBorder="1"/>
    <xf numFmtId="0" fontId="0" fillId="0" borderId="9" xfId="0" applyBorder="1"/>
    <xf numFmtId="0" fontId="58" fillId="18" borderId="10" xfId="0" applyFont="1" applyFill="1" applyBorder="1" applyAlignment="1">
      <alignment horizontal="left" vertical="top"/>
    </xf>
    <xf numFmtId="0" fontId="0" fillId="0" borderId="11" xfId="0" applyBorder="1"/>
    <xf numFmtId="0" fontId="0" fillId="0" borderId="12" xfId="0" applyBorder="1"/>
    <xf numFmtId="164" fontId="22" fillId="8" borderId="1" xfId="0" applyNumberFormat="1" applyFont="1" applyFill="1" applyBorder="1" applyAlignment="1">
      <alignment horizontal="center" vertical="center" wrapText="1"/>
    </xf>
    <xf numFmtId="0" fontId="23" fillId="11" borderId="2" xfId="0" applyFont="1" applyFill="1" applyBorder="1" applyAlignment="1">
      <alignment horizontal="center" vertical="center"/>
    </xf>
    <xf numFmtId="0" fontId="0" fillId="0" borderId="22" xfId="0" applyBorder="1"/>
    <xf numFmtId="0" fontId="55" fillId="17" borderId="0" xfId="0" applyFont="1" applyFill="1" applyAlignment="1">
      <alignment horizontal="center" vertical="center" wrapText="1"/>
    </xf>
    <xf numFmtId="0" fontId="12" fillId="8" borderId="1" xfId="0" applyFont="1" applyFill="1" applyBorder="1" applyAlignment="1">
      <alignment horizontal="center" vertical="center" wrapText="1"/>
    </xf>
    <xf numFmtId="0" fontId="45" fillId="3" borderId="0" xfId="0" applyFont="1" applyFill="1" applyAlignment="1">
      <alignment horizontal="left" vertical="center" wrapText="1"/>
    </xf>
    <xf numFmtId="0" fontId="46" fillId="0" borderId="0" xfId="0" applyFont="1"/>
    <xf numFmtId="0" fontId="2" fillId="3" borderId="0" xfId="0" applyFont="1" applyFill="1" applyAlignment="1">
      <alignment horizontal="left" vertical="center" wrapText="1"/>
    </xf>
    <xf numFmtId="0" fontId="35" fillId="17" borderId="0" xfId="0" applyFont="1" applyFill="1" applyAlignment="1">
      <alignment horizontal="center" vertical="center" wrapText="1"/>
    </xf>
    <xf numFmtId="0" fontId="0" fillId="17" borderId="0" xfId="0" applyFill="1" applyAlignment="1">
      <alignment horizontal="center" vertical="top" wrapText="1"/>
    </xf>
    <xf numFmtId="0" fontId="28" fillId="2" borderId="0" xfId="0" applyFont="1" applyFill="1" applyAlignment="1">
      <alignment horizontal="center" vertical="center" wrapText="1"/>
    </xf>
    <xf numFmtId="0" fontId="0" fillId="0" borderId="0" xfId="0" applyAlignment="1">
      <alignment wrapText="1"/>
    </xf>
    <xf numFmtId="0" fontId="52" fillId="10" borderId="0" xfId="0" applyFont="1" applyFill="1" applyAlignment="1">
      <alignment horizontal="center" vertical="center" wrapText="1"/>
    </xf>
    <xf numFmtId="0" fontId="48" fillId="0" borderId="0" xfId="0" applyFont="1" applyAlignment="1">
      <alignment wrapText="1"/>
    </xf>
    <xf numFmtId="0" fontId="33" fillId="9" borderId="1" xfId="0" applyFont="1" applyFill="1" applyBorder="1" applyAlignment="1">
      <alignment horizontal="left" vertical="center" wrapText="1"/>
    </xf>
    <xf numFmtId="0" fontId="0" fillId="0" borderId="5" xfId="0" applyBorder="1" applyAlignment="1">
      <alignment wrapText="1"/>
    </xf>
    <xf numFmtId="0" fontId="0" fillId="0" borderId="23" xfId="0" applyBorder="1"/>
    <xf numFmtId="0" fontId="33" fillId="9" borderId="1" xfId="0" applyFont="1" applyFill="1" applyBorder="1" applyAlignment="1">
      <alignment horizontal="left" vertical="center"/>
    </xf>
    <xf numFmtId="0" fontId="29" fillId="10" borderId="0" xfId="0" applyFont="1" applyFill="1" applyAlignment="1">
      <alignment horizontal="center" vertical="center" wrapText="1"/>
    </xf>
  </cellXfs>
  <cellStyles count="2">
    <cellStyle name="Currency" xfId="1" builtinId="4"/>
    <cellStyle name="Normal" xfId="0" builtinId="0"/>
  </cellStyles>
  <dxfs count="8">
    <dxf>
      <font>
        <b/>
        <sz val="8"/>
        <color rgb="FF9C0006"/>
        <name val="Arial"/>
        <charset val="1"/>
      </font>
      <fill>
        <patternFill>
          <bgColor rgb="FFFFCCCC"/>
        </patternFill>
      </fill>
    </dxf>
    <dxf>
      <font>
        <b/>
        <sz val="8"/>
        <color rgb="FF375623"/>
        <name val="Arial"/>
        <charset val="1"/>
      </font>
      <fill>
        <patternFill>
          <bgColor rgb="FFC6EFCE"/>
        </patternFill>
      </fill>
    </dxf>
    <dxf>
      <font>
        <b/>
        <sz val="14"/>
        <color rgb="FF7D6608"/>
        <name val="Arial"/>
        <charset val="1"/>
      </font>
      <fill>
        <patternFill>
          <bgColor rgb="FFFFEB9C"/>
        </patternFill>
      </fill>
    </dxf>
    <dxf>
      <font>
        <b/>
        <sz val="14"/>
        <color rgb="FF9C0006"/>
        <name val="Arial"/>
        <charset val="1"/>
      </font>
      <fill>
        <patternFill>
          <bgColor rgb="FFFFCCCC"/>
        </patternFill>
      </fill>
    </dxf>
    <dxf>
      <font>
        <sz val="14"/>
        <color rgb="FF9C0006"/>
        <name val="Arial"/>
        <charset val="1"/>
      </font>
      <fill>
        <patternFill>
          <bgColor rgb="FFFFCCCC"/>
        </patternFill>
      </fill>
    </dxf>
    <dxf>
      <font>
        <b/>
        <sz val="10"/>
        <color rgb="FF9C0006"/>
        <name val="Arial"/>
        <charset val="1"/>
      </font>
      <fill>
        <patternFill>
          <bgColor rgb="FFFFCCCC"/>
        </patternFill>
      </fill>
    </dxf>
    <dxf>
      <font>
        <b/>
        <sz val="10"/>
        <color rgb="FF375623"/>
        <name val="Arial"/>
        <charset val="1"/>
      </font>
      <fill>
        <patternFill>
          <bgColor rgb="FFC6EFCE"/>
        </patternFill>
      </fill>
    </dxf>
    <dxf>
      <fill>
        <patternFill patternType="solid">
          <fgColor indexed="64"/>
          <bgColor rgb="FFFF0000"/>
        </patternFill>
      </fill>
    </dxf>
  </dxfs>
  <tableStyles count="0" defaultTableStyle="TableStyleMedium2" defaultPivotStyle="PivotStyleLight16"/>
  <colors>
    <indexedColors>
      <rgbColor rgb="FF000000"/>
      <rgbColor rgb="FFFFFFFF"/>
      <rgbColor rgb="FFFF0000"/>
      <rgbColor rgb="FF00FF00"/>
      <rgbColor rgb="FF0000FF"/>
      <rgbColor rgb="FFFFF2CC"/>
      <rgbColor rgb="FFFF00FF"/>
      <rgbColor rgb="FF00FFFF"/>
      <rgbColor rgb="FF9C0006"/>
      <rgbColor rgb="FF008000"/>
      <rgbColor rgb="FF004085"/>
      <rgbColor rgb="FF7D6608"/>
      <rgbColor rgb="FF800080"/>
      <rgbColor rgb="FF008080"/>
      <rgbColor rgb="FFBBBBBB"/>
      <rgbColor rgb="FF888888"/>
      <rgbColor rgb="FFF2F2F2"/>
      <rgbColor rgb="FF856404"/>
      <rgbColor rgb="FFFFF3CD"/>
      <rgbColor rgb="FFE8F8E8"/>
      <rgbColor rgb="FF660066"/>
      <rgbColor rgb="FFFF8080"/>
      <rgbColor rgb="FF0070C0"/>
      <rgbColor rgb="FFD9D9D9"/>
      <rgbColor rgb="FF000080"/>
      <rgbColor rgb="FFFF00FF"/>
      <rgbColor rgb="FFFEF9E7"/>
      <rgbColor rgb="FF00FFFF"/>
      <rgbColor rgb="FF800080"/>
      <rgbColor rgb="FF721C24"/>
      <rgbColor rgb="FF008080"/>
      <rgbColor rgb="FF0000FF"/>
      <rgbColor rgb="FF00CCFF"/>
      <rgbColor rgb="FFEBF5FB"/>
      <rgbColor rgb="FFC6EFCE"/>
      <rgbColor rgb="FFFFEB9C"/>
      <rgbColor rgb="FFCCE5FF"/>
      <rgbColor rgb="FFF8D7DA"/>
      <rgbColor rgb="FFD4EDDA"/>
      <rgbColor rgb="FFFFCCCC"/>
      <rgbColor rgb="FF3366FF"/>
      <rgbColor rgb="FF33CCCC"/>
      <rgbColor rgb="FF99CC00"/>
      <rgbColor rgb="FFFDEDEC"/>
      <rgbColor rgb="FFD4AC0D"/>
      <rgbColor rgb="FFFF6600"/>
      <rgbColor rgb="FF777777"/>
      <rgbColor rgb="FFAAAAAA"/>
      <rgbColor rgb="FF003B6F"/>
      <rgbColor rgb="FF339966"/>
      <rgbColor rgb="FF155724"/>
      <rgbColor rgb="FF555555"/>
      <rgbColor rgb="FF922B21"/>
      <rgbColor rgb="FF993366"/>
      <rgbColor rgb="FF1A5276"/>
      <rgbColor rgb="FF375623"/>
      <rgbColor rgb="00003366"/>
      <rgbColor rgb="00339966"/>
      <rgbColor rgb="00003300"/>
      <rgbColor rgb="00333300"/>
      <rgbColor rgb="00993300"/>
      <rgbColor rgb="00993366"/>
      <rgbColor rgb="00333399"/>
      <rgbColor rgb="00333333"/>
    </indexedColors>
    <mruColors>
      <color rgb="FFFFFFCC"/>
      <color rgb="FFE4CAE0"/>
      <color rgb="FF66CC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'Student Chart'!$F$1</c:f>
          <c:strCache>
            <c:ptCount val="1"/>
            <c:pt idx="0">
              <c:v>Mickey Mouse — 5C Scores</c:v>
            </c:pt>
          </c:strCache>
        </c:strRef>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radarChart>
        <c:radarStyle val="filled"/>
        <c:varyColors val="0"/>
        <c:ser>
          <c:idx val="0"/>
          <c:order val="0"/>
          <c:tx>
            <c:strRef>
              <c:f>'Student Chart'!$H$1</c:f>
              <c:strCache>
                <c:ptCount val="1"/>
                <c:pt idx="0">
                  <c:v>Adjusted Score</c:v>
                </c:pt>
              </c:strCache>
            </c:strRef>
          </c:tx>
          <c:spPr>
            <a:solidFill>
              <a:schemeClr val="accent1">
                <a:alpha val="10196"/>
              </a:schemeClr>
            </a:solidFill>
            <a:ln w="50800">
              <a:solidFill>
                <a:schemeClr val="accent1">
                  <a:alpha val="30000"/>
                </a:schemeClr>
              </a:solidFill>
            </a:ln>
            <a:effectLst/>
          </c:spPr>
          <c:cat>
            <c:strRef>
              <c:f>'Student Chart'!$G$2:$G$8</c:f>
              <c:strCache>
                <c:ptCount val="7"/>
                <c:pt idx="0">
                  <c:v>New Product Idea</c:v>
                </c:pt>
                <c:pt idx="1">
                  <c:v>Context – PESTLE</c:v>
                </c:pt>
                <c:pt idx="2">
                  <c:v>Company – SWOT</c:v>
                </c:pt>
                <c:pt idx="3">
                  <c:v>Competition</c:v>
                </c:pt>
                <c:pt idx="4">
                  <c:v>Collaborators</c:v>
                </c:pt>
                <c:pt idx="5">
                  <c:v>Customers</c:v>
                </c:pt>
                <c:pt idx="6">
                  <c:v>Writing &amp; Presentation (incl. APA 7th)</c:v>
                </c:pt>
              </c:strCache>
            </c:strRef>
          </c:cat>
          <c:val>
            <c:numRef>
              <c:f>'Student Chart'!$H$2:$H$8</c:f>
              <c:numCache>
                <c:formatCode>General</c:formatCode>
                <c:ptCount val="7"/>
                <c:pt idx="0">
                  <c:v>7.8</c:v>
                </c:pt>
                <c:pt idx="1">
                  <c:v>14.2</c:v>
                </c:pt>
                <c:pt idx="2">
                  <c:v>13.4</c:v>
                </c:pt>
                <c:pt idx="3">
                  <c:v>8.6</c:v>
                </c:pt>
                <c:pt idx="4">
                  <c:v>4.4000000000000004</c:v>
                </c:pt>
                <c:pt idx="5">
                  <c:v>5.7</c:v>
                </c:pt>
                <c:pt idx="6">
                  <c:v>5.7</c:v>
                </c:pt>
              </c:numCache>
            </c:numRef>
          </c:val>
          <c:extLst>
            <c:ext xmlns:c16="http://schemas.microsoft.com/office/drawing/2014/chart" uri="{C3380CC4-5D6E-409C-BE32-E72D297353CC}">
              <c16:uniqueId val="{00000000-DABA-4C98-B948-A01AA1D17BB8}"/>
            </c:ext>
          </c:extLst>
        </c:ser>
        <c:ser>
          <c:idx val="1"/>
          <c:order val="1"/>
          <c:tx>
            <c:strRef>
              <c:f>'Student Chart'!$I$1</c:f>
              <c:strCache>
                <c:ptCount val="1"/>
                <c:pt idx="0">
                  <c:v>Maximum</c:v>
                </c:pt>
              </c:strCache>
            </c:strRef>
          </c:tx>
          <c:spPr>
            <a:solidFill>
              <a:schemeClr val="accent2">
                <a:alpha val="10196"/>
              </a:schemeClr>
            </a:solidFill>
            <a:ln w="50800">
              <a:solidFill>
                <a:schemeClr val="accent2">
                  <a:alpha val="30000"/>
                </a:schemeClr>
              </a:solidFill>
            </a:ln>
            <a:effectLst/>
          </c:spPr>
          <c:cat>
            <c:strRef>
              <c:f>'Student Chart'!$G$2:$G$8</c:f>
              <c:strCache>
                <c:ptCount val="7"/>
                <c:pt idx="0">
                  <c:v>New Product Idea</c:v>
                </c:pt>
                <c:pt idx="1">
                  <c:v>Context – PESTLE</c:v>
                </c:pt>
                <c:pt idx="2">
                  <c:v>Company – SWOT</c:v>
                </c:pt>
                <c:pt idx="3">
                  <c:v>Competition</c:v>
                </c:pt>
                <c:pt idx="4">
                  <c:v>Collaborators</c:v>
                </c:pt>
                <c:pt idx="5">
                  <c:v>Customers</c:v>
                </c:pt>
                <c:pt idx="6">
                  <c:v>Writing &amp; Presentation (incl. APA 7th)</c:v>
                </c:pt>
              </c:strCache>
            </c:strRef>
          </c:cat>
          <c:val>
            <c:numRef>
              <c:f>'Student Chart'!$I$2:$I$8</c:f>
              <c:numCache>
                <c:formatCode>General</c:formatCode>
                <c:ptCount val="7"/>
                <c:pt idx="0">
                  <c:v>15</c:v>
                </c:pt>
                <c:pt idx="1">
                  <c:v>20</c:v>
                </c:pt>
                <c:pt idx="2">
                  <c:v>20</c:v>
                </c:pt>
                <c:pt idx="3">
                  <c:v>15</c:v>
                </c:pt>
                <c:pt idx="4">
                  <c:v>10</c:v>
                </c:pt>
                <c:pt idx="5">
                  <c:v>10</c:v>
                </c:pt>
                <c:pt idx="6">
                  <c:v>10</c:v>
                </c:pt>
              </c:numCache>
            </c:numRef>
          </c:val>
          <c:extLst>
            <c:ext xmlns:c16="http://schemas.microsoft.com/office/drawing/2014/chart" uri="{C3380CC4-5D6E-409C-BE32-E72D297353CC}">
              <c16:uniqueId val="{00000001-DABA-4C98-B948-A01AA1D17BB8}"/>
            </c:ext>
          </c:extLst>
        </c:ser>
        <c:dLbls>
          <c:showLegendKey val="0"/>
          <c:showVal val="0"/>
          <c:showCatName val="0"/>
          <c:showSerName val="0"/>
          <c:showPercent val="0"/>
          <c:showBubbleSize val="0"/>
        </c:dLbls>
        <c:axId val="349236271"/>
        <c:axId val="349257871"/>
      </c:radarChart>
      <c:catAx>
        <c:axId val="3492362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49257871"/>
        <c:crosses val="autoZero"/>
        <c:auto val="1"/>
        <c:lblAlgn val="ctr"/>
        <c:lblOffset val="100"/>
        <c:noMultiLvlLbl val="0"/>
      </c:catAx>
      <c:valAx>
        <c:axId val="3492578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49236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13</xdr:col>
      <xdr:colOff>304800</xdr:colOff>
      <xdr:row>37</xdr:row>
      <xdr:rowOff>76200</xdr:rowOff>
    </xdr:to>
    <xdr:graphicFrame macro="">
      <xdr:nvGraphicFramePr>
        <xdr:cNvPr id="3" name="Chart 2">
          <a:extLst>
            <a:ext uri="{FF2B5EF4-FFF2-40B4-BE49-F238E27FC236}">
              <a16:creationId xmlns:a16="http://schemas.microsoft.com/office/drawing/2014/main" id="{ECC6C840-A6B9-F7F3-0D03-DB10F8B30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C6C74E-4F1A-48E0-A664-19FD52A90069}">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60"/>
  <sheetViews>
    <sheetView workbookViewId="0">
      <selection activeCell="C46" sqref="C46"/>
    </sheetView>
  </sheetViews>
  <sheetFormatPr defaultRowHeight="15" x14ac:dyDescent="0.25"/>
  <cols>
    <col min="1" max="1" width="120" customWidth="1"/>
  </cols>
  <sheetData>
    <row r="1" spans="1:1" ht="25.5" customHeight="1" x14ac:dyDescent="0.25">
      <c r="A1" s="45" t="s">
        <v>178</v>
      </c>
    </row>
    <row r="2" spans="1:1" ht="18" customHeight="1" x14ac:dyDescent="0.25">
      <c r="A2" s="39" t="s">
        <v>121</v>
      </c>
    </row>
    <row r="3" spans="1:1" ht="35.25" customHeight="1" x14ac:dyDescent="0.25">
      <c r="A3" s="39" t="s">
        <v>122</v>
      </c>
    </row>
    <row r="4" spans="1:1" ht="18" customHeight="1" x14ac:dyDescent="0.25">
      <c r="A4" s="39" t="s">
        <v>123</v>
      </c>
    </row>
    <row r="5" spans="1:1" ht="18" customHeight="1" x14ac:dyDescent="0.25">
      <c r="A5" s="39"/>
    </row>
    <row r="6" spans="1:1" ht="18" customHeight="1" x14ac:dyDescent="0.25">
      <c r="A6" s="55" t="s">
        <v>124</v>
      </c>
    </row>
    <row r="7" spans="1:1" ht="18" customHeight="1" x14ac:dyDescent="0.25">
      <c r="A7" s="39" t="s">
        <v>180</v>
      </c>
    </row>
    <row r="8" spans="1:1" ht="18" customHeight="1" x14ac:dyDescent="0.25">
      <c r="A8" s="39" t="s">
        <v>125</v>
      </c>
    </row>
    <row r="9" spans="1:1" ht="18" customHeight="1" x14ac:dyDescent="0.25">
      <c r="A9" s="39" t="s">
        <v>126</v>
      </c>
    </row>
    <row r="10" spans="1:1" ht="18" customHeight="1" x14ac:dyDescent="0.25">
      <c r="A10" s="39" t="s">
        <v>127</v>
      </c>
    </row>
    <row r="11" spans="1:1" ht="18" customHeight="1" x14ac:dyDescent="0.25">
      <c r="A11" s="39" t="s">
        <v>181</v>
      </c>
    </row>
    <row r="12" spans="1:1" ht="32.25" customHeight="1" x14ac:dyDescent="0.25">
      <c r="A12" s="39" t="s">
        <v>182</v>
      </c>
    </row>
    <row r="13" spans="1:1" ht="18" customHeight="1" x14ac:dyDescent="0.25">
      <c r="A13" s="39"/>
    </row>
    <row r="14" spans="1:1" ht="18" customHeight="1" x14ac:dyDescent="0.25">
      <c r="A14" s="55" t="s">
        <v>128</v>
      </c>
    </row>
    <row r="15" spans="1:1" ht="18" customHeight="1" x14ac:dyDescent="0.25">
      <c r="A15" s="39" t="s">
        <v>183</v>
      </c>
    </row>
    <row r="16" spans="1:1" ht="18" customHeight="1" x14ac:dyDescent="0.25">
      <c r="A16" s="39" t="s">
        <v>184</v>
      </c>
    </row>
    <row r="17" spans="1:1" ht="18" customHeight="1" x14ac:dyDescent="0.25">
      <c r="A17" s="39" t="s">
        <v>129</v>
      </c>
    </row>
    <row r="18" spans="1:1" ht="30.75" customHeight="1" x14ac:dyDescent="0.25">
      <c r="A18" s="39" t="s">
        <v>203</v>
      </c>
    </row>
    <row r="19" spans="1:1" ht="33" customHeight="1" x14ac:dyDescent="0.25">
      <c r="A19" s="39" t="s">
        <v>185</v>
      </c>
    </row>
    <row r="20" spans="1:1" ht="39.75" customHeight="1" x14ac:dyDescent="0.25">
      <c r="A20" s="39" t="s">
        <v>130</v>
      </c>
    </row>
    <row r="21" spans="1:1" ht="18" customHeight="1" x14ac:dyDescent="0.25">
      <c r="A21" s="39"/>
    </row>
    <row r="22" spans="1:1" ht="18" customHeight="1" x14ac:dyDescent="0.25">
      <c r="A22" s="53" t="s">
        <v>149</v>
      </c>
    </row>
    <row r="23" spans="1:1" ht="18" customHeight="1" x14ac:dyDescent="0.25">
      <c r="A23" s="54" t="s">
        <v>131</v>
      </c>
    </row>
    <row r="24" spans="1:1" ht="18" customHeight="1" x14ac:dyDescent="0.25">
      <c r="A24" s="54" t="s">
        <v>204</v>
      </c>
    </row>
    <row r="25" spans="1:1" ht="18" customHeight="1" x14ac:dyDescent="0.25">
      <c r="A25" s="39"/>
    </row>
    <row r="26" spans="1:1" ht="18" customHeight="1" x14ac:dyDescent="0.25">
      <c r="A26" s="55" t="s">
        <v>132</v>
      </c>
    </row>
    <row r="27" spans="1:1" ht="32.25" customHeight="1" x14ac:dyDescent="0.25">
      <c r="A27" s="39" t="s">
        <v>186</v>
      </c>
    </row>
    <row r="28" spans="1:1" ht="18" customHeight="1" x14ac:dyDescent="0.25">
      <c r="A28" s="39"/>
    </row>
    <row r="29" spans="1:1" ht="18" customHeight="1" x14ac:dyDescent="0.25">
      <c r="A29" s="55" t="s">
        <v>133</v>
      </c>
    </row>
    <row r="30" spans="1:1" ht="50.25" customHeight="1" x14ac:dyDescent="0.25">
      <c r="A30" s="39" t="s">
        <v>187</v>
      </c>
    </row>
    <row r="31" spans="1:1" ht="18" customHeight="1" x14ac:dyDescent="0.25">
      <c r="A31" s="39"/>
    </row>
    <row r="32" spans="1:1" ht="18" customHeight="1" x14ac:dyDescent="0.25">
      <c r="A32" s="55" t="s">
        <v>134</v>
      </c>
    </row>
    <row r="33" spans="1:1" ht="34.5" customHeight="1" x14ac:dyDescent="0.25">
      <c r="A33" s="39" t="s">
        <v>135</v>
      </c>
    </row>
    <row r="34" spans="1:1" ht="18" customHeight="1" x14ac:dyDescent="0.25">
      <c r="A34" s="39" t="s">
        <v>136</v>
      </c>
    </row>
    <row r="35" spans="1:1" ht="18" customHeight="1" x14ac:dyDescent="0.25">
      <c r="A35" s="39"/>
    </row>
    <row r="36" spans="1:1" ht="18" customHeight="1" x14ac:dyDescent="0.25">
      <c r="A36" s="56" t="s">
        <v>193</v>
      </c>
    </row>
    <row r="37" spans="1:1" ht="30" x14ac:dyDescent="0.25">
      <c r="A37" s="39" t="s">
        <v>201</v>
      </c>
    </row>
    <row r="38" spans="1:1" ht="18" customHeight="1" x14ac:dyDescent="0.25">
      <c r="A38" s="39"/>
    </row>
    <row r="39" spans="1:1" ht="18" customHeight="1" x14ac:dyDescent="0.25">
      <c r="A39" s="52" t="s">
        <v>194</v>
      </c>
    </row>
    <row r="40" spans="1:1" ht="18" customHeight="1" x14ac:dyDescent="0.25">
      <c r="A40" s="39" t="s">
        <v>195</v>
      </c>
    </row>
    <row r="41" spans="1:1" ht="18" customHeight="1" x14ac:dyDescent="0.25">
      <c r="A41" s="39"/>
    </row>
    <row r="42" spans="1:1" ht="18" customHeight="1" x14ac:dyDescent="0.25">
      <c r="A42" s="52" t="s">
        <v>199</v>
      </c>
    </row>
    <row r="43" spans="1:1" ht="18" customHeight="1" x14ac:dyDescent="0.25">
      <c r="A43" s="39" t="s">
        <v>200</v>
      </c>
    </row>
    <row r="44" spans="1:1" ht="18" customHeight="1" x14ac:dyDescent="0.25"/>
    <row r="45" spans="1:1" ht="33" customHeight="1" x14ac:dyDescent="0.25">
      <c r="A45" s="53" t="s">
        <v>196</v>
      </c>
    </row>
    <row r="46" spans="1:1" ht="18" customHeight="1" x14ac:dyDescent="0.25">
      <c r="A46" s="54" t="s">
        <v>137</v>
      </c>
    </row>
    <row r="47" spans="1:1" ht="18" customHeight="1" x14ac:dyDescent="0.25">
      <c r="A47" s="54" t="s">
        <v>138</v>
      </c>
    </row>
    <row r="48" spans="1:1" ht="18" customHeight="1" x14ac:dyDescent="0.25">
      <c r="A48" s="54" t="s">
        <v>139</v>
      </c>
    </row>
    <row r="49" spans="1:1" ht="18" customHeight="1" x14ac:dyDescent="0.25">
      <c r="A49" s="54"/>
    </row>
    <row r="50" spans="1:1" ht="18" customHeight="1" x14ac:dyDescent="0.25">
      <c r="A50" s="53" t="s">
        <v>197</v>
      </c>
    </row>
    <row r="51" spans="1:1" ht="18" customHeight="1" x14ac:dyDescent="0.25">
      <c r="A51" s="54" t="s">
        <v>140</v>
      </c>
    </row>
    <row r="52" spans="1:1" ht="18" customHeight="1" x14ac:dyDescent="0.25">
      <c r="A52" s="57" t="s">
        <v>202</v>
      </c>
    </row>
    <row r="53" spans="1:1" ht="18" customHeight="1" x14ac:dyDescent="0.25">
      <c r="A53" s="54" t="s">
        <v>188</v>
      </c>
    </row>
    <row r="54" spans="1:1" ht="18" customHeight="1" x14ac:dyDescent="0.25">
      <c r="A54" s="54" t="s">
        <v>189</v>
      </c>
    </row>
    <row r="55" spans="1:1" ht="18" customHeight="1" x14ac:dyDescent="0.25">
      <c r="A55" s="54"/>
    </row>
    <row r="56" spans="1:1" ht="18" customHeight="1" x14ac:dyDescent="0.25">
      <c r="A56" s="53" t="s">
        <v>198</v>
      </c>
    </row>
    <row r="57" spans="1:1" ht="40.5" customHeight="1" x14ac:dyDescent="0.25">
      <c r="A57" s="54" t="s">
        <v>141</v>
      </c>
    </row>
    <row r="59" spans="1:1" x14ac:dyDescent="0.25">
      <c r="A59" s="50" t="s">
        <v>142</v>
      </c>
    </row>
    <row r="60" spans="1:1" ht="45" x14ac:dyDescent="0.25">
      <c r="A60" s="51" t="s">
        <v>190</v>
      </c>
    </row>
  </sheetData>
  <sheetProtection algorithmName="SHA-512" hashValue="FnXZ6OP+49JM8ZV6f6PbBdyX2jRN6hHErXmyVJfZ76QPoDKleYDVkwFWdIph1ik1DBiPpNgZrqVXr+pGcrYamQ==" saltValue="HO/7c45J/zfayttqB2vwIA==" spinCount="100000" sheet="1" objects="1" scenarios="1"/>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pageSetUpPr fitToPage="1"/>
  </sheetPr>
  <dimension ref="A1:H44"/>
  <sheetViews>
    <sheetView tabSelected="1" zoomScaleNormal="100" workbookViewId="0">
      <pane ySplit="7" topLeftCell="A8" activePane="bottomLeft" state="frozen"/>
      <selection pane="bottomLeft" activeCell="B6" sqref="B6"/>
    </sheetView>
  </sheetViews>
  <sheetFormatPr defaultColWidth="8.7109375" defaultRowHeight="15" customHeight="1" x14ac:dyDescent="0.25"/>
  <cols>
    <col min="1" max="1" width="34" customWidth="1"/>
    <col min="2" max="2" width="10" customWidth="1"/>
    <col min="3" max="3" width="11" customWidth="1"/>
    <col min="4" max="6" width="12" customWidth="1"/>
    <col min="7" max="7" width="8" customWidth="1"/>
    <col min="8" max="8" width="16" customWidth="1"/>
  </cols>
  <sheetData>
    <row r="1" spans="1:8" ht="27.75" customHeight="1" x14ac:dyDescent="0.25">
      <c r="A1" s="98" t="s">
        <v>87</v>
      </c>
      <c r="B1" s="92"/>
      <c r="C1" s="92"/>
      <c r="D1" s="92"/>
      <c r="E1" s="1"/>
      <c r="F1" s="1"/>
      <c r="G1" s="1"/>
      <c r="H1" s="1"/>
    </row>
    <row r="2" spans="1:8" ht="15.75" customHeight="1" x14ac:dyDescent="0.25">
      <c r="A2" s="100" t="s">
        <v>176</v>
      </c>
      <c r="B2" s="92"/>
      <c r="C2" s="92"/>
      <c r="D2" s="92"/>
      <c r="E2" s="92"/>
      <c r="F2" s="92"/>
      <c r="G2" s="92"/>
      <c r="H2" s="92"/>
    </row>
    <row r="3" spans="1:8" ht="4.5" customHeight="1" x14ac:dyDescent="0.25"/>
    <row r="4" spans="1:8" ht="13.5" customHeight="1" x14ac:dyDescent="0.25">
      <c r="A4" s="18" t="s">
        <v>88</v>
      </c>
      <c r="C4" s="18" t="s">
        <v>89</v>
      </c>
      <c r="E4" s="18" t="s">
        <v>90</v>
      </c>
      <c r="G4" s="18" t="s">
        <v>91</v>
      </c>
    </row>
    <row r="5" spans="1:8" ht="18" customHeight="1" x14ac:dyDescent="0.25">
      <c r="B5" s="64" t="s">
        <v>191</v>
      </c>
      <c r="D5" s="59">
        <v>1647841</v>
      </c>
      <c r="F5" s="59" t="s">
        <v>192</v>
      </c>
      <c r="H5" s="60">
        <f ca="1">TODAY()</f>
        <v>46087</v>
      </c>
    </row>
    <row r="6" spans="1:8" ht="8.25" customHeight="1" x14ac:dyDescent="0.25"/>
    <row r="7" spans="1:8" ht="33.75" customHeight="1" x14ac:dyDescent="0.25">
      <c r="A7" s="2" t="s">
        <v>92</v>
      </c>
      <c r="B7" s="65" t="s">
        <v>93</v>
      </c>
      <c r="C7" s="2" t="s">
        <v>94</v>
      </c>
      <c r="D7" s="2" t="s">
        <v>95</v>
      </c>
      <c r="E7" s="19" t="s">
        <v>96</v>
      </c>
      <c r="F7" s="2" t="s">
        <v>97</v>
      </c>
      <c r="G7" s="2" t="s">
        <v>98</v>
      </c>
      <c r="H7" s="2" t="s">
        <v>70</v>
      </c>
    </row>
    <row r="8" spans="1:8" ht="21.75" customHeight="1" x14ac:dyDescent="0.25">
      <c r="A8" s="20" t="s">
        <v>3</v>
      </c>
      <c r="B8" s="21">
        <v>15</v>
      </c>
      <c r="C8" s="61" t="s">
        <v>66</v>
      </c>
      <c r="D8" s="22">
        <f>IF(C8="","",VLOOKUP(C8,Ingredients!$A$12:$B$21,2,FALSE()))</f>
        <v>52</v>
      </c>
      <c r="E8" s="62"/>
      <c r="F8" s="23">
        <f t="shared" ref="F8:F14" si="0">IF(E8&lt;&gt;"",E8,IF(D8="","",D8))</f>
        <v>52</v>
      </c>
      <c r="G8" s="24">
        <f>IF(C8="","",VLOOKUP(C8,Ingredients!$A$25:$C$34,3,FALSE()))</f>
        <v>2</v>
      </c>
      <c r="H8" s="25" t="str">
        <f>IF(C8="","",VLOOKUP(C8,Ingredients!$A$25:$C$34,2,FALSE()))</f>
        <v>Developing</v>
      </c>
    </row>
    <row r="9" spans="1:8" ht="21.75" customHeight="1" x14ac:dyDescent="0.25">
      <c r="A9" s="26" t="s">
        <v>4</v>
      </c>
      <c r="B9" s="27">
        <v>20</v>
      </c>
      <c r="C9" s="61" t="s">
        <v>58</v>
      </c>
      <c r="D9" s="22">
        <f>IF(C9="","",VLOOKUP(C9,Ingredients!$A$12:$B$21,2,FALSE()))</f>
        <v>72</v>
      </c>
      <c r="E9" s="62">
        <v>71</v>
      </c>
      <c r="F9" s="23">
        <f t="shared" si="0"/>
        <v>71</v>
      </c>
      <c r="G9" s="28">
        <f>IF(C9="","",VLOOKUP(C9,Ingredients!$A$25:$C$34,3,FALSE()))</f>
        <v>3</v>
      </c>
      <c r="H9" s="29" t="str">
        <f>IF(C9="","",VLOOKUP(C9,Ingredients!$A$25:$C$34,2,FALSE()))</f>
        <v>Proficient</v>
      </c>
    </row>
    <row r="10" spans="1:8" ht="21.75" customHeight="1" x14ac:dyDescent="0.25">
      <c r="A10" s="20" t="s">
        <v>5</v>
      </c>
      <c r="B10" s="21">
        <v>20</v>
      </c>
      <c r="C10" s="61" t="s">
        <v>60</v>
      </c>
      <c r="D10" s="22">
        <f>IF(C10="","",VLOOKUP(C10,Ingredients!$A$12:$B$21,2,FALSE()))</f>
        <v>67</v>
      </c>
      <c r="E10" s="62"/>
      <c r="F10" s="23">
        <f t="shared" si="0"/>
        <v>67</v>
      </c>
      <c r="G10" s="24">
        <f>IF(C10="","",VLOOKUP(C10,Ingredients!$A$25:$C$34,3,FALSE()))</f>
        <v>3</v>
      </c>
      <c r="H10" s="25" t="str">
        <f>IF(C10="","",VLOOKUP(C10,Ingredients!$A$25:$C$34,2,FALSE()))</f>
        <v>Proficient</v>
      </c>
    </row>
    <row r="11" spans="1:8" ht="21.75" customHeight="1" x14ac:dyDescent="0.25">
      <c r="A11" s="26" t="s">
        <v>6</v>
      </c>
      <c r="B11" s="27">
        <v>15</v>
      </c>
      <c r="C11" s="61" t="s">
        <v>64</v>
      </c>
      <c r="D11" s="22">
        <f>IF(C11="","",VLOOKUP(C11,Ingredients!$A$12:$B$21,2,FALSE()))</f>
        <v>57</v>
      </c>
      <c r="E11" s="62"/>
      <c r="F11" s="23">
        <f t="shared" si="0"/>
        <v>57</v>
      </c>
      <c r="G11" s="28">
        <f>IF(C11="","",VLOOKUP(C11,Ingredients!$A$25:$C$34,3,FALSE()))</f>
        <v>2</v>
      </c>
      <c r="H11" s="29" t="str">
        <f>IF(C11="","",VLOOKUP(C11,Ingredients!$A$25:$C$34,2,FALSE()))</f>
        <v>Developing</v>
      </c>
    </row>
    <row r="12" spans="1:8" ht="21.75" customHeight="1" x14ac:dyDescent="0.25">
      <c r="A12" s="20" t="s">
        <v>7</v>
      </c>
      <c r="B12" s="21">
        <v>10</v>
      </c>
      <c r="C12" s="61" t="s">
        <v>38</v>
      </c>
      <c r="D12" s="22">
        <f>IF(C12="","",VLOOKUP(C12,Ingredients!$A$12:$B$21,2,FALSE()))</f>
        <v>44</v>
      </c>
      <c r="E12" s="62"/>
      <c r="F12" s="23">
        <f t="shared" si="0"/>
        <v>44</v>
      </c>
      <c r="G12" s="24">
        <f>IF(C12="","",VLOOKUP(C12,Ingredients!$A$25:$C$34,3,FALSE()))</f>
        <v>1</v>
      </c>
      <c r="H12" s="25" t="str">
        <f>IF(C12="","",VLOOKUP(C12,Ingredients!$A$25:$C$34,2,FALSE()))</f>
        <v>Unsatisfactory</v>
      </c>
    </row>
    <row r="13" spans="1:8" ht="21.75" customHeight="1" x14ac:dyDescent="0.25">
      <c r="A13" s="26" t="s">
        <v>8</v>
      </c>
      <c r="B13" s="27">
        <v>10</v>
      </c>
      <c r="C13" s="61" t="s">
        <v>64</v>
      </c>
      <c r="D13" s="22">
        <f>IF(C13="","",VLOOKUP(C13,Ingredients!$A$12:$B$21,2,FALSE()))</f>
        <v>57</v>
      </c>
      <c r="E13" s="62"/>
      <c r="F13" s="23">
        <f t="shared" si="0"/>
        <v>57</v>
      </c>
      <c r="G13" s="28">
        <f>IF(C13="","",VLOOKUP(C13,Ingredients!$A$25:$C$34,3,FALSE()))</f>
        <v>2</v>
      </c>
      <c r="H13" s="29" t="str">
        <f>IF(C13="","",VLOOKUP(C13,Ingredients!$A$25:$C$34,2,FALSE()))</f>
        <v>Developing</v>
      </c>
    </row>
    <row r="14" spans="1:8" ht="21.75" customHeight="1" x14ac:dyDescent="0.25">
      <c r="A14" s="20" t="s">
        <v>9</v>
      </c>
      <c r="B14" s="21">
        <v>10</v>
      </c>
      <c r="C14" s="61" t="s">
        <v>64</v>
      </c>
      <c r="D14" s="22">
        <f>IF(C14="","",VLOOKUP(C14,Ingredients!$A$12:$B$21,2,FALSE()))</f>
        <v>57</v>
      </c>
      <c r="E14" s="62"/>
      <c r="F14" s="23">
        <f t="shared" si="0"/>
        <v>57</v>
      </c>
      <c r="G14" s="24">
        <f>IF(C14="","",VLOOKUP(C14,Ingredients!$A$25:$C$34,3,FALSE()))</f>
        <v>2</v>
      </c>
      <c r="H14" s="25" t="str">
        <f>IF(C14="","",VLOOKUP(C14,Ingredients!$A$25:$C$34,2,FALSE()))</f>
        <v>Developing</v>
      </c>
    </row>
    <row r="15" spans="1:8" ht="4.5" customHeight="1" x14ac:dyDescent="0.25"/>
    <row r="16" spans="1:8" ht="19.5" customHeight="1" x14ac:dyDescent="0.25">
      <c r="A16" s="120" t="s">
        <v>99</v>
      </c>
      <c r="B16" s="96"/>
      <c r="C16" s="96"/>
      <c r="D16" s="96"/>
      <c r="E16" s="97"/>
      <c r="F16" s="30">
        <f>SUM(B8:B14)</f>
        <v>100</v>
      </c>
      <c r="G16" s="106" t="str">
        <f>IF(SUM(B8:B14)=100,"✓ OK","⚠ Weights must total 100 — score invalid")</f>
        <v>✓ OK</v>
      </c>
      <c r="H16" s="97"/>
    </row>
    <row r="17" spans="1:8" ht="4.5" customHeight="1" x14ac:dyDescent="0.25"/>
    <row r="18" spans="1:8" ht="27.75" customHeight="1" x14ac:dyDescent="0.25">
      <c r="A18" s="122" t="s">
        <v>100</v>
      </c>
      <c r="B18" s="96"/>
      <c r="C18" s="96"/>
      <c r="D18" s="96"/>
      <c r="E18" s="97"/>
      <c r="F18" s="133">
        <f>IF(SUM(B8:B14)&lt;&gt;100,"⚠",IF(COUNTA(C8:C14)=0,"",ROUND(SUMPRODUCT(F8:F14,B8:B14)/100,1)))</f>
        <v>59.8</v>
      </c>
      <c r="G18" s="96"/>
      <c r="H18" s="97"/>
    </row>
    <row r="19" spans="1:8" ht="27.75" customHeight="1" x14ac:dyDescent="0.25">
      <c r="A19" s="99" t="s">
        <v>101</v>
      </c>
      <c r="B19" s="96"/>
      <c r="C19" s="97"/>
      <c r="D19" s="134" t="s">
        <v>102</v>
      </c>
      <c r="E19" s="135"/>
      <c r="F19" s="105">
        <f>IF(OR(D19="",D19="On time"),0,IF(D19="1 day late",10,IF(D19="2 days late",20,30)))</f>
        <v>20</v>
      </c>
      <c r="G19" s="96"/>
      <c r="H19" s="97"/>
    </row>
    <row r="20" spans="1:8" ht="27.75" customHeight="1" x14ac:dyDescent="0.25">
      <c r="A20" s="99" t="s">
        <v>103</v>
      </c>
      <c r="B20" s="96"/>
      <c r="C20" s="96"/>
      <c r="D20" s="96"/>
      <c r="E20" s="97"/>
      <c r="F20" s="124">
        <f>IF(F18="","",MAX(0,ROUND(F18-F19,1)))</f>
        <v>39.799999999999997</v>
      </c>
      <c r="G20" s="96"/>
      <c r="H20" s="97"/>
    </row>
    <row r="21" spans="1:8" ht="27.75" customHeight="1" x14ac:dyDescent="0.25">
      <c r="A21" s="123" t="s">
        <v>104</v>
      </c>
      <c r="B21" s="96"/>
      <c r="C21" s="96"/>
      <c r="D21" s="96"/>
      <c r="E21" s="97"/>
      <c r="F21" s="95" t="str">
        <f>IF(F20="","",LOOKUP(F20,Ingredients!$A$38:$A$47,Ingredients!$B$38:$B$47))</f>
        <v>D</v>
      </c>
      <c r="G21" s="96"/>
      <c r="H21" s="97"/>
    </row>
    <row r="22" spans="1:8" s="58" customFormat="1" ht="27.75" hidden="1" customHeight="1" x14ac:dyDescent="0.25">
      <c r="A22" s="102" t="s">
        <v>105</v>
      </c>
      <c r="B22" s="103"/>
      <c r="C22" s="103"/>
      <c r="D22" s="103"/>
      <c r="E22" s="104"/>
      <c r="F22" s="117"/>
      <c r="G22" s="118"/>
      <c r="H22" s="119"/>
    </row>
    <row r="23" spans="1:8" ht="31.5" customHeight="1" x14ac:dyDescent="0.25">
      <c r="A23" s="101" t="s">
        <v>106</v>
      </c>
      <c r="B23" s="96"/>
      <c r="C23" s="96"/>
      <c r="D23" s="96"/>
      <c r="E23" s="97"/>
      <c r="F23" s="116" t="str">
        <f>IF(F22&lt;&gt;"",F22,IF(F21="","",F21))</f>
        <v>D</v>
      </c>
      <c r="G23" s="96"/>
      <c r="H23" s="97"/>
    </row>
    <row r="24" spans="1:8" ht="18" customHeight="1" x14ac:dyDescent="0.25"/>
    <row r="25" spans="1:8" ht="18" customHeight="1" x14ac:dyDescent="0.25">
      <c r="A25" s="121" t="s">
        <v>107</v>
      </c>
      <c r="B25" s="92"/>
      <c r="C25" s="92"/>
      <c r="D25" s="92"/>
      <c r="E25" s="92"/>
      <c r="F25" s="92"/>
      <c r="G25" s="92"/>
      <c r="H25" s="92"/>
    </row>
    <row r="26" spans="1:8" ht="159.75" customHeight="1" x14ac:dyDescent="0.25">
      <c r="A26" s="125" t="str">
        <f>IF(F23="","— Select a grade for each criterion above to generate feedback —",VLOOKUP(F23,Pablumator!$A$5:$D$14,3,FALSE())&amp;CHAR(10)&amp;CHAR(10))&amp;IF(G8="","",A8&amp;" – "&amp;TEXT('Student Chart'!D2,"0.0")&amp;" / "&amp;TEXT('Student Chart'!E2,"0")&amp;CHAR(10)&amp;INDEX(Ingredients!$C$4:$I$7,5-G8,1)&amp;CHAR(10)&amp;CHAR(10))&amp;IF(G9="","",A9&amp;" – "&amp;TEXT('Student Chart'!D3,"0.0")&amp;" / "&amp;TEXT('Student Chart'!E3,"0")&amp;CHAR(10)&amp;INDEX(Ingredients!$C$4:$I$7,5-G9,2)&amp;CHAR(10)&amp;CHAR(10))&amp;IF(G10="","",A10&amp;" – "&amp;TEXT('Student Chart'!D4,"0.0")&amp;" / "&amp;TEXT('Student Chart'!E4,"0")&amp;CHAR(10)&amp;INDEX(Ingredients!$C$4:$I$7,5-G10,3)&amp;CHAR(10)&amp;CHAR(10))&amp;IF(G11="","",A11&amp;" – "&amp;TEXT('Student Chart'!D5,"0.0")&amp;" / "&amp;TEXT('Student Chart'!E5,"0")&amp;CHAR(10)&amp;INDEX(Ingredients!$C$4:$I$7,5-G11,4)&amp;CHAR(10)&amp;CHAR(10))&amp;IF(G12="","",A12&amp;" – "&amp;TEXT('Student Chart'!D6,"0.0")&amp;" / "&amp;TEXT('Student Chart'!E6,"0")&amp;CHAR(10)&amp;INDEX(Ingredients!$C$4:$I$7,5-G12,5)&amp;CHAR(10)&amp;CHAR(10))&amp;IF(G13="","",A13&amp;" – "&amp;TEXT('Student Chart'!D7,"0.0")&amp;" / "&amp;TEXT('Student Chart'!E7,"0")&amp;CHAR(10)&amp;INDEX(Ingredients!$C$4:$I$7,5-G13,6)&amp;CHAR(10)&amp;CHAR(10))&amp;IF(G14="","",A14&amp;" – "&amp;TEXT('Student Chart'!D8,"0.0")&amp;" / "&amp;TEXT('Student Chart'!E8,"0")&amp;CHAR(10)&amp;INDEX(Ingredients!$C$4:$I$7,5-G14,7)&amp;CHAR(10)&amp;CHAR(10))&amp;IF(F23&lt;&gt;"",VLOOKUP(F23,Pablumator!$A$5:$D$14,4,FALSE()),"")&amp;CHAR(10)&amp;CHAR(10)&amp;"TOTAL SCORE: "&amp;TEXT('Student Chart'!D9*(1-IFERROR(E19/100,IF(D19="1 day late",0.1,IF(D19="2 days late",0.2,IF(D19="3 days late",0.3,0))))),"0.0")&amp;" / 100"&amp;IF(OR(D19="",D19="On time"),"",CHAR(10)&amp;CHAR(10)&amp;IF(D19="1 day late","LATE SUBMISSION NOTICE: As your report was submitted up to 24 hours / 1 day after the due date/time a further 10% (out of 100%) has been deducted from the total above.",IF(D19="2 days late","LATE SUBMISSION NOTICE: As your report was submitted up to 48 hours / 2 days after the due date/time a further 20% (out of 100%) has been deducted from the total above.","LATE SUBMISSION NOTICE: As your report was submitted up to 72 hours / 3 days after the due date/time a further 30% (out of 100%) has been deducted from the total above.")))</f>
        <v>Thank you for submitting your 5Cs analysis. While I appreciate that you made a submission, the work does not yet meet the expected standard for this assessment. The feedback below outlines the key areas that need significant development, and I would encourage you to engage with this carefully and to seek support if you are unsure how to move forward.
New Product Idea – 7.8 / 15
Basic product description with some reference to pain points, but lacking sufficient clarity, newness, or specificity to make a compelling case.
Context – PESTLE – 14.2 / 20
Covers most relevant PESTLE factors and links them to the business idea, though some explanations lack depth or supporting references.
Company – SWOT – 13.4 / 20
SWOT covers the retailer's strengths, weaknesses, opportunities, and threats clearly, though some elements lack depth or the internal/external distinction could be stronger.
Competition – 8.6 / 15
Identifies competitors but does not meaningfully compare them to the new product, or competitive advantages and disadvantages are not clearly explained.
Collaborators – 4.4 / 10
No collaborators listed, or collaborators identified lack relevance to the product or the NZ market.
Customers – 5.7 / 10
Basic description of customers without meaningful demographic detail, pain point analysis, or NZ-specific focus.
Writing &amp; Presentation (incl. APA 7th) – 5.7 / 10
Some grammar or spelling issues, or structure lacks clarity. Subheadings inconsistent or missing. APA referencing attempted but with notable errors.
I would strongly encourage you to review the assessment brief and marking rubric carefully, and to make use of the support available to you - whether that is visiting office hours, working with the university's academic skills team, or engaging with the course materials more deeply. Please don't give up - with focused effort and the right support, improvement is absolutely achievable.
TOTAL SCORE: 59.8 / 100
LATE SUBMISSION NOTICE: As your report was submitted up to 48 hours / 2 days after the due date/time a further 20% (out of 100%) has been deducted from the total above.</v>
      </c>
      <c r="B26" s="126"/>
      <c r="C26" s="126"/>
      <c r="D26" s="126"/>
      <c r="E26" s="126"/>
      <c r="F26" s="126"/>
      <c r="G26" s="126"/>
      <c r="H26" s="127"/>
    </row>
    <row r="27" spans="1:8" ht="4.5" customHeight="1" x14ac:dyDescent="0.25">
      <c r="A27" s="128"/>
      <c r="B27" s="92"/>
      <c r="C27" s="92"/>
      <c r="D27" s="92"/>
      <c r="E27" s="92"/>
      <c r="F27" s="92"/>
      <c r="G27" s="92"/>
      <c r="H27" s="129"/>
    </row>
    <row r="28" spans="1:8" ht="4.5" customHeight="1" x14ac:dyDescent="0.25">
      <c r="A28" s="128"/>
      <c r="B28" s="92"/>
      <c r="C28" s="92"/>
      <c r="D28" s="92"/>
      <c r="E28" s="92"/>
      <c r="F28" s="92"/>
      <c r="G28" s="92"/>
      <c r="H28" s="129"/>
    </row>
    <row r="29" spans="1:8" ht="4.5" customHeight="1" x14ac:dyDescent="0.25">
      <c r="A29" s="128"/>
      <c r="B29" s="92"/>
      <c r="C29" s="92"/>
      <c r="D29" s="92"/>
      <c r="E29" s="92"/>
      <c r="F29" s="92"/>
      <c r="G29" s="92"/>
      <c r="H29" s="129"/>
    </row>
    <row r="30" spans="1:8" ht="4.5" customHeight="1" x14ac:dyDescent="0.25">
      <c r="A30" s="128"/>
      <c r="B30" s="92"/>
      <c r="C30" s="92"/>
      <c r="D30" s="92"/>
      <c r="E30" s="92"/>
      <c r="F30" s="92"/>
      <c r="G30" s="92"/>
      <c r="H30" s="129"/>
    </row>
    <row r="31" spans="1:8" ht="4.5" customHeight="1" x14ac:dyDescent="0.25">
      <c r="A31" s="128"/>
      <c r="B31" s="92"/>
      <c r="C31" s="92"/>
      <c r="D31" s="92"/>
      <c r="E31" s="92"/>
      <c r="F31" s="92"/>
      <c r="G31" s="92"/>
      <c r="H31" s="129"/>
    </row>
    <row r="32" spans="1:8" ht="4.5" customHeight="1" x14ac:dyDescent="0.25">
      <c r="A32" s="128"/>
      <c r="B32" s="92"/>
      <c r="C32" s="92"/>
      <c r="D32" s="92"/>
      <c r="E32" s="92"/>
      <c r="F32" s="92"/>
      <c r="G32" s="92"/>
      <c r="H32" s="129"/>
    </row>
    <row r="33" spans="1:8" ht="4.5" customHeight="1" x14ac:dyDescent="0.25">
      <c r="A33" s="128"/>
      <c r="B33" s="92"/>
      <c r="C33" s="92"/>
      <c r="D33" s="92"/>
      <c r="E33" s="92"/>
      <c r="F33" s="92"/>
      <c r="G33" s="92"/>
      <c r="H33" s="129"/>
    </row>
    <row r="34" spans="1:8" ht="255.75" customHeight="1" x14ac:dyDescent="0.25">
      <c r="A34" s="130"/>
      <c r="B34" s="131"/>
      <c r="C34" s="131"/>
      <c r="D34" s="131"/>
      <c r="E34" s="131"/>
      <c r="F34" s="131"/>
      <c r="G34" s="131"/>
      <c r="H34" s="132"/>
    </row>
    <row r="35" spans="1:8" ht="29.25" customHeight="1" x14ac:dyDescent="0.25"/>
    <row r="36" spans="1:8" ht="36.75" customHeight="1" x14ac:dyDescent="0.25">
      <c r="A36" s="121" t="s">
        <v>151</v>
      </c>
      <c r="B36" s="92"/>
      <c r="C36" s="92"/>
      <c r="D36" s="92"/>
      <c r="E36" s="92"/>
      <c r="F36" s="92"/>
      <c r="G36" s="92"/>
      <c r="H36" s="92"/>
    </row>
    <row r="37" spans="1:8" ht="15.75" customHeight="1" x14ac:dyDescent="0.25">
      <c r="A37" s="107"/>
      <c r="B37" s="108"/>
      <c r="C37" s="108"/>
      <c r="D37" s="108"/>
      <c r="E37" s="108"/>
      <c r="F37" s="108"/>
      <c r="G37" s="108"/>
      <c r="H37" s="109"/>
    </row>
    <row r="38" spans="1:8" ht="15.75" customHeight="1" x14ac:dyDescent="0.25">
      <c r="A38" s="110"/>
      <c r="B38" s="111"/>
      <c r="C38" s="111"/>
      <c r="D38" s="111"/>
      <c r="E38" s="111"/>
      <c r="F38" s="111"/>
      <c r="G38" s="111"/>
      <c r="H38" s="112"/>
    </row>
    <row r="39" spans="1:8" ht="15.75" customHeight="1" x14ac:dyDescent="0.25">
      <c r="A39" s="110"/>
      <c r="B39" s="111"/>
      <c r="C39" s="111"/>
      <c r="D39" s="111"/>
      <c r="E39" s="111"/>
      <c r="F39" s="111"/>
      <c r="G39" s="111"/>
      <c r="H39" s="112"/>
    </row>
    <row r="40" spans="1:8" ht="15.75" customHeight="1" x14ac:dyDescent="0.25">
      <c r="A40" s="110"/>
      <c r="B40" s="111"/>
      <c r="C40" s="111"/>
      <c r="D40" s="111"/>
      <c r="E40" s="111"/>
      <c r="F40" s="111"/>
      <c r="G40" s="111"/>
      <c r="H40" s="112"/>
    </row>
    <row r="41" spans="1:8" ht="15.75" customHeight="1" x14ac:dyDescent="0.25">
      <c r="A41" s="110"/>
      <c r="B41" s="111"/>
      <c r="C41" s="111"/>
      <c r="D41" s="111"/>
      <c r="E41" s="111"/>
      <c r="F41" s="111"/>
      <c r="G41" s="111"/>
      <c r="H41" s="112"/>
    </row>
    <row r="42" spans="1:8" ht="15.75" customHeight="1" x14ac:dyDescent="0.25">
      <c r="A42" s="113"/>
      <c r="B42" s="114"/>
      <c r="C42" s="114"/>
      <c r="D42" s="114"/>
      <c r="E42" s="114"/>
      <c r="F42" s="114"/>
      <c r="G42" s="114"/>
      <c r="H42" s="115"/>
    </row>
    <row r="43" spans="1:8" ht="70.5" customHeight="1" x14ac:dyDescent="0.25">
      <c r="A43" s="91" t="s">
        <v>143</v>
      </c>
      <c r="B43" s="92"/>
      <c r="C43" s="92"/>
      <c r="D43" s="92"/>
      <c r="E43" s="92"/>
      <c r="F43" s="92"/>
      <c r="G43" s="92"/>
      <c r="H43" s="92"/>
    </row>
    <row r="44" spans="1:8" ht="28.5" customHeight="1" x14ac:dyDescent="0.25">
      <c r="A44" s="93" t="s">
        <v>179</v>
      </c>
      <c r="B44" s="94"/>
      <c r="C44" s="94"/>
      <c r="D44" s="94"/>
      <c r="E44" s="94"/>
      <c r="F44" s="94"/>
      <c r="G44" s="94"/>
      <c r="H44" s="94"/>
    </row>
  </sheetData>
  <mergeCells count="23">
    <mergeCell ref="A36:H36"/>
    <mergeCell ref="A18:E18"/>
    <mergeCell ref="A21:E21"/>
    <mergeCell ref="F20:H20"/>
    <mergeCell ref="A26:H34"/>
    <mergeCell ref="F18:H18"/>
    <mergeCell ref="D19:E19"/>
    <mergeCell ref="A43:H43"/>
    <mergeCell ref="A44:H44"/>
    <mergeCell ref="F21:H21"/>
    <mergeCell ref="A1:D1"/>
    <mergeCell ref="A19:C19"/>
    <mergeCell ref="A2:H2"/>
    <mergeCell ref="A23:E23"/>
    <mergeCell ref="A22:E22"/>
    <mergeCell ref="F19:H19"/>
    <mergeCell ref="A20:E20"/>
    <mergeCell ref="G16:H16"/>
    <mergeCell ref="A37:H42"/>
    <mergeCell ref="F23:H23"/>
    <mergeCell ref="F22:H22"/>
    <mergeCell ref="A16:E16"/>
    <mergeCell ref="A25:H25"/>
  </mergeCells>
  <conditionalFormatting sqref="E8:E14">
    <cfRule type="expression" dxfId="7" priority="9">
      <formula>AND(E8&lt;&gt;"",C8&lt;&gt;"",OR(E8&lt;IF(C8="A+",90,IF(C8="A",85,IF(C8="A-",80,IF(C8="B+",75,IF(C8="B",70,IF(C8="B-",65,IF(C8="C+",60,IF(C8="C",55,IF(C8="C-",50,IF(C8="D",40,0)))))))))),E8&gt;IF(C8="A+",100,IF(C8="A",89,IF(C8="A-",84,IF(C8="B+",79,IF(C8="B",74,IF(C8="B-",69,IF(C8="C+",64,IF(C8="C",59,IF(C8="C-",54,IF(C8="D",49,0))))))))))))</formula>
    </cfRule>
  </conditionalFormatting>
  <conditionalFormatting sqref="F16">
    <cfRule type="cellIs" dxfId="6" priority="2" operator="equal">
      <formula>100</formula>
    </cfRule>
    <cfRule type="cellIs" dxfId="5" priority="3" operator="notEqual">
      <formula>100</formula>
    </cfRule>
  </conditionalFormatting>
  <conditionalFormatting sqref="F18:H18">
    <cfRule type="expression" dxfId="4" priority="8">
      <formula>SUM(B8:B14)&lt;&gt;100</formula>
    </cfRule>
  </conditionalFormatting>
  <conditionalFormatting sqref="F20:H20">
    <cfRule type="cellIs" dxfId="3" priority="6" operator="lessThan">
      <formula>50</formula>
    </cfRule>
    <cfRule type="cellIs" dxfId="2" priority="7" operator="between">
      <formula>50</formula>
      <formula>64</formula>
    </cfRule>
  </conditionalFormatting>
  <conditionalFormatting sqref="G16:H16">
    <cfRule type="expression" dxfId="1" priority="4">
      <formula>SUM(B8:B14)=100</formula>
    </cfRule>
    <cfRule type="expression" dxfId="0" priority="5">
      <formula>SUM(B8:B14)&lt;&gt;100</formula>
    </cfRule>
  </conditionalFormatting>
  <dataValidations count="3">
    <dataValidation type="list" allowBlank="1" sqref="C8:C14 F22" xr:uid="{00000000-0002-0000-0100-000000000000}">
      <formula1>"A+,A,A-,B+,B,B-,C+,C,C-,D"</formula1>
      <formula2>0</formula2>
    </dataValidation>
    <dataValidation type="list" allowBlank="1" sqref="D19" xr:uid="{00000000-0002-0000-0100-000001000000}">
      <formula1>"On time,1 day late,2 days late,3 days late"</formula1>
      <formula2>0</formula2>
    </dataValidation>
    <dataValidation type="whole" allowBlank="1" showInputMessage="1" showErrorMessage="1" errorTitle="Invalid Override Score" error="Please enter a whole number between 0 and 100." promptTitle="Override Score" prompt="Optional. Enter a whole number (0–100) to replace the midpoint for this criterion." sqref="E8:E14" xr:uid="{00000000-0002-0000-0100-000002000000}">
      <formula1>0</formula1>
      <formula2>100</formula2>
    </dataValidation>
  </dataValidations>
  <printOptions horizontalCentered="1"/>
  <pageMargins left="0.5" right="0.5" top="0.5" bottom="0.5" header="0.25" footer="0.25"/>
  <pageSetup paperSize="9" scale="80" fitToHeight="0"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I55"/>
  <sheetViews>
    <sheetView zoomScaleNormal="100" workbookViewId="0">
      <pane xSplit="2" ySplit="3" topLeftCell="C4" activePane="bottomRight" state="frozen"/>
      <selection pane="topRight" activeCell="C1" sqref="C1"/>
      <selection pane="bottomLeft" activeCell="A4" sqref="A4"/>
      <selection pane="bottomRight" activeCell="A11" sqref="A11:C14"/>
    </sheetView>
  </sheetViews>
  <sheetFormatPr defaultColWidth="8.7109375" defaultRowHeight="15" customHeight="1" x14ac:dyDescent="0.25"/>
  <cols>
    <col min="1" max="1" width="16" customWidth="1"/>
    <col min="2" max="2" width="14" customWidth="1"/>
    <col min="3" max="6" width="32" customWidth="1"/>
    <col min="7" max="8" width="28" customWidth="1"/>
    <col min="9" max="9" width="32" customWidth="1"/>
  </cols>
  <sheetData>
    <row r="1" spans="1:9" ht="27.75" customHeight="1" x14ac:dyDescent="0.25">
      <c r="A1" s="98" t="s">
        <v>0</v>
      </c>
      <c r="B1" s="92"/>
      <c r="C1" s="92"/>
      <c r="D1" s="92"/>
      <c r="E1" s="92"/>
      <c r="F1" s="92"/>
      <c r="G1" s="92"/>
      <c r="H1" s="92"/>
      <c r="I1" s="92"/>
    </row>
    <row r="2" spans="1:9" ht="33" customHeight="1" x14ac:dyDescent="0.25">
      <c r="A2" s="140" t="s">
        <v>155</v>
      </c>
      <c r="B2" s="92"/>
      <c r="C2" s="92"/>
      <c r="D2" s="92"/>
      <c r="E2" s="92"/>
      <c r="F2" s="92"/>
      <c r="G2" s="92"/>
      <c r="H2" s="92"/>
      <c r="I2" s="92"/>
    </row>
    <row r="3" spans="1:9" ht="36" customHeight="1" x14ac:dyDescent="0.25">
      <c r="A3" s="2" t="s">
        <v>1</v>
      </c>
      <c r="B3" s="2" t="s">
        <v>2</v>
      </c>
      <c r="C3" s="2" t="s">
        <v>3</v>
      </c>
      <c r="D3" s="2" t="s">
        <v>4</v>
      </c>
      <c r="E3" s="2" t="s">
        <v>5</v>
      </c>
      <c r="F3" s="2" t="s">
        <v>6</v>
      </c>
      <c r="G3" s="2" t="s">
        <v>7</v>
      </c>
      <c r="H3" s="2" t="s">
        <v>8</v>
      </c>
      <c r="I3" s="2" t="s">
        <v>9</v>
      </c>
    </row>
    <row r="4" spans="1:9" ht="90" customHeight="1" x14ac:dyDescent="0.25">
      <c r="A4" s="3" t="s">
        <v>10</v>
      </c>
      <c r="B4" s="3" t="s">
        <v>11</v>
      </c>
      <c r="C4" s="4" t="s">
        <v>12</v>
      </c>
      <c r="D4" s="4" t="s">
        <v>13</v>
      </c>
      <c r="E4" s="4" t="s">
        <v>14</v>
      </c>
      <c r="F4" s="4" t="s">
        <v>15</v>
      </c>
      <c r="G4" s="4" t="s">
        <v>16</v>
      </c>
      <c r="H4" s="4" t="s">
        <v>17</v>
      </c>
      <c r="I4" s="4" t="s">
        <v>18</v>
      </c>
    </row>
    <row r="5" spans="1:9" ht="90" customHeight="1" x14ac:dyDescent="0.25">
      <c r="A5" s="5" t="s">
        <v>19</v>
      </c>
      <c r="B5" s="5" t="s">
        <v>20</v>
      </c>
      <c r="C5" s="6" t="s">
        <v>21</v>
      </c>
      <c r="D5" s="6" t="s">
        <v>22</v>
      </c>
      <c r="E5" s="6" t="s">
        <v>23</v>
      </c>
      <c r="F5" s="6" t="s">
        <v>24</v>
      </c>
      <c r="G5" s="6" t="s">
        <v>25</v>
      </c>
      <c r="H5" s="6" t="s">
        <v>26</v>
      </c>
      <c r="I5" s="6" t="s">
        <v>27</v>
      </c>
    </row>
    <row r="6" spans="1:9" ht="90" customHeight="1" x14ac:dyDescent="0.25">
      <c r="A6" s="7" t="s">
        <v>28</v>
      </c>
      <c r="B6" s="7" t="s">
        <v>29</v>
      </c>
      <c r="C6" s="8" t="s">
        <v>30</v>
      </c>
      <c r="D6" s="8" t="s">
        <v>31</v>
      </c>
      <c r="E6" s="8" t="s">
        <v>32</v>
      </c>
      <c r="F6" s="8" t="s">
        <v>33</v>
      </c>
      <c r="G6" s="8" t="s">
        <v>34</v>
      </c>
      <c r="H6" s="8" t="s">
        <v>35</v>
      </c>
      <c r="I6" s="8" t="s">
        <v>36</v>
      </c>
    </row>
    <row r="7" spans="1:9" ht="90" customHeight="1" x14ac:dyDescent="0.25">
      <c r="A7" s="9" t="s">
        <v>37</v>
      </c>
      <c r="B7" s="9" t="s">
        <v>38</v>
      </c>
      <c r="C7" s="10" t="s">
        <v>39</v>
      </c>
      <c r="D7" s="10" t="s">
        <v>40</v>
      </c>
      <c r="E7" s="10" t="s">
        <v>41</v>
      </c>
      <c r="F7" s="10" t="s">
        <v>42</v>
      </c>
      <c r="G7" s="10" t="s">
        <v>43</v>
      </c>
      <c r="H7" s="10" t="s">
        <v>44</v>
      </c>
      <c r="I7" s="10" t="s">
        <v>45</v>
      </c>
    </row>
    <row r="8" spans="1:9" ht="19.5" customHeight="1" x14ac:dyDescent="0.25">
      <c r="A8" s="137" t="s">
        <v>46</v>
      </c>
      <c r="B8" s="97"/>
      <c r="C8" s="11">
        <v>15</v>
      </c>
      <c r="D8" s="11">
        <v>20</v>
      </c>
      <c r="E8" s="11">
        <v>20</v>
      </c>
      <c r="F8" s="11">
        <v>15</v>
      </c>
      <c r="G8" s="11">
        <v>10</v>
      </c>
      <c r="H8" s="11">
        <v>10</v>
      </c>
      <c r="I8" s="11">
        <v>10</v>
      </c>
    </row>
    <row r="9" spans="1:9" ht="21.75" customHeight="1" x14ac:dyDescent="0.25"/>
    <row r="10" spans="1:9" ht="31.5" customHeight="1" x14ac:dyDescent="0.25">
      <c r="A10" s="140" t="s">
        <v>156</v>
      </c>
      <c r="B10" s="92"/>
      <c r="C10" s="92"/>
    </row>
    <row r="11" spans="1:9" ht="18" customHeight="1" x14ac:dyDescent="0.25">
      <c r="A11" s="2" t="s">
        <v>47</v>
      </c>
      <c r="B11" s="2" t="s">
        <v>48</v>
      </c>
      <c r="C11" s="2" t="s">
        <v>49</v>
      </c>
    </row>
    <row r="12" spans="1:9" ht="15.75" customHeight="1" x14ac:dyDescent="0.25">
      <c r="A12" s="12" t="s">
        <v>50</v>
      </c>
      <c r="B12" s="12">
        <v>95</v>
      </c>
      <c r="C12" s="12" t="s">
        <v>51</v>
      </c>
    </row>
    <row r="13" spans="1:9" ht="15.75" customHeight="1" x14ac:dyDescent="0.25">
      <c r="A13" s="13" t="s">
        <v>52</v>
      </c>
      <c r="B13" s="13">
        <v>87</v>
      </c>
      <c r="C13" s="13" t="s">
        <v>53</v>
      </c>
    </row>
    <row r="14" spans="1:9" ht="15.75" customHeight="1" x14ac:dyDescent="0.25">
      <c r="A14" s="12" t="s">
        <v>54</v>
      </c>
      <c r="B14" s="12">
        <v>82</v>
      </c>
      <c r="C14" s="12" t="s">
        <v>55</v>
      </c>
    </row>
    <row r="15" spans="1:9" ht="15.75" customHeight="1" x14ac:dyDescent="0.25">
      <c r="A15" s="13" t="s">
        <v>56</v>
      </c>
      <c r="B15" s="13">
        <v>77</v>
      </c>
      <c r="C15" s="13" t="s">
        <v>57</v>
      </c>
    </row>
    <row r="16" spans="1:9" ht="15.75" customHeight="1" x14ac:dyDescent="0.25">
      <c r="A16" s="12" t="s">
        <v>58</v>
      </c>
      <c r="B16" s="12">
        <v>72</v>
      </c>
      <c r="C16" s="12" t="s">
        <v>59</v>
      </c>
    </row>
    <row r="17" spans="1:3" ht="15.75" customHeight="1" x14ac:dyDescent="0.25">
      <c r="A17" s="13" t="s">
        <v>60</v>
      </c>
      <c r="B17" s="13">
        <v>67</v>
      </c>
      <c r="C17" s="13" t="s">
        <v>61</v>
      </c>
    </row>
    <row r="18" spans="1:3" ht="15.75" customHeight="1" x14ac:dyDescent="0.25">
      <c r="A18" s="12" t="s">
        <v>62</v>
      </c>
      <c r="B18" s="12">
        <v>62</v>
      </c>
      <c r="C18" s="12" t="s">
        <v>63</v>
      </c>
    </row>
    <row r="19" spans="1:3" ht="15.75" customHeight="1" x14ac:dyDescent="0.25">
      <c r="A19" s="13" t="s">
        <v>64</v>
      </c>
      <c r="B19" s="13">
        <v>57</v>
      </c>
      <c r="C19" s="13" t="s">
        <v>65</v>
      </c>
    </row>
    <row r="20" spans="1:3" ht="15.75" customHeight="1" x14ac:dyDescent="0.25">
      <c r="A20" s="12" t="s">
        <v>66</v>
      </c>
      <c r="B20" s="12">
        <v>52</v>
      </c>
      <c r="C20" s="12" t="s">
        <v>67</v>
      </c>
    </row>
    <row r="21" spans="1:3" ht="15.75" customHeight="1" x14ac:dyDescent="0.25">
      <c r="A21" s="13" t="s">
        <v>38</v>
      </c>
      <c r="B21" s="13">
        <v>44</v>
      </c>
      <c r="C21" s="13" t="s">
        <v>68</v>
      </c>
    </row>
    <row r="22" spans="1:3" ht="7.5" customHeight="1" x14ac:dyDescent="0.25"/>
    <row r="23" spans="1:3" ht="34.5" customHeight="1" x14ac:dyDescent="0.25">
      <c r="A23" s="140" t="s">
        <v>69</v>
      </c>
      <c r="B23" s="92"/>
      <c r="C23" s="92"/>
    </row>
    <row r="24" spans="1:3" ht="18" customHeight="1" x14ac:dyDescent="0.25">
      <c r="A24" s="2" t="s">
        <v>47</v>
      </c>
      <c r="B24" s="2" t="s">
        <v>70</v>
      </c>
      <c r="C24" s="2" t="s">
        <v>71</v>
      </c>
    </row>
    <row r="25" spans="1:3" ht="15.75" customHeight="1" x14ac:dyDescent="0.25">
      <c r="A25" s="14" t="s">
        <v>50</v>
      </c>
      <c r="B25" s="14" t="s">
        <v>10</v>
      </c>
      <c r="C25" s="14">
        <v>4</v>
      </c>
    </row>
    <row r="26" spans="1:3" ht="15.75" customHeight="1" x14ac:dyDescent="0.25">
      <c r="A26" s="14" t="s">
        <v>52</v>
      </c>
      <c r="B26" s="14" t="s">
        <v>10</v>
      </c>
      <c r="C26" s="14">
        <v>4</v>
      </c>
    </row>
    <row r="27" spans="1:3" ht="15.75" customHeight="1" x14ac:dyDescent="0.25">
      <c r="A27" s="14" t="s">
        <v>54</v>
      </c>
      <c r="B27" s="14" t="s">
        <v>10</v>
      </c>
      <c r="C27" s="14">
        <v>4</v>
      </c>
    </row>
    <row r="28" spans="1:3" ht="15.75" customHeight="1" x14ac:dyDescent="0.25">
      <c r="A28" s="15" t="s">
        <v>56</v>
      </c>
      <c r="B28" s="15" t="s">
        <v>19</v>
      </c>
      <c r="C28" s="15">
        <v>3</v>
      </c>
    </row>
    <row r="29" spans="1:3" ht="15.75" customHeight="1" x14ac:dyDescent="0.25">
      <c r="A29" s="15" t="s">
        <v>58</v>
      </c>
      <c r="B29" s="15" t="s">
        <v>19</v>
      </c>
      <c r="C29" s="15">
        <v>3</v>
      </c>
    </row>
    <row r="30" spans="1:3" ht="15.75" customHeight="1" x14ac:dyDescent="0.25">
      <c r="A30" s="15" t="s">
        <v>60</v>
      </c>
      <c r="B30" s="15" t="s">
        <v>19</v>
      </c>
      <c r="C30" s="15">
        <v>3</v>
      </c>
    </row>
    <row r="31" spans="1:3" ht="15.75" customHeight="1" x14ac:dyDescent="0.25">
      <c r="A31" s="16" t="s">
        <v>62</v>
      </c>
      <c r="B31" s="16" t="s">
        <v>28</v>
      </c>
      <c r="C31" s="16">
        <v>2</v>
      </c>
    </row>
    <row r="32" spans="1:3" ht="15.75" customHeight="1" x14ac:dyDescent="0.25">
      <c r="A32" s="16" t="s">
        <v>64</v>
      </c>
      <c r="B32" s="16" t="s">
        <v>28</v>
      </c>
      <c r="C32" s="16">
        <v>2</v>
      </c>
    </row>
    <row r="33" spans="1:3" ht="15.75" customHeight="1" x14ac:dyDescent="0.25">
      <c r="A33" s="16" t="s">
        <v>66</v>
      </c>
      <c r="B33" s="16" t="s">
        <v>28</v>
      </c>
      <c r="C33" s="16">
        <v>2</v>
      </c>
    </row>
    <row r="34" spans="1:3" ht="15.75" customHeight="1" x14ac:dyDescent="0.25">
      <c r="A34" s="17" t="s">
        <v>38</v>
      </c>
      <c r="B34" s="17" t="s">
        <v>37</v>
      </c>
      <c r="C34" s="17">
        <v>1</v>
      </c>
    </row>
    <row r="35" spans="1:3" ht="7.5" customHeight="1" x14ac:dyDescent="0.25"/>
    <row r="36" spans="1:3" ht="36.75" customHeight="1" x14ac:dyDescent="0.25">
      <c r="A36" s="140" t="s">
        <v>72</v>
      </c>
      <c r="B36" s="92"/>
      <c r="C36" s="92"/>
    </row>
    <row r="37" spans="1:3" ht="18" customHeight="1" x14ac:dyDescent="0.25">
      <c r="A37" s="2" t="s">
        <v>73</v>
      </c>
      <c r="B37" s="2" t="s">
        <v>74</v>
      </c>
      <c r="C37" s="2" t="s">
        <v>75</v>
      </c>
    </row>
    <row r="38" spans="1:3" ht="15.75" customHeight="1" x14ac:dyDescent="0.25">
      <c r="A38" s="12">
        <v>0</v>
      </c>
      <c r="B38" s="12" t="s">
        <v>38</v>
      </c>
      <c r="C38" s="12" t="s">
        <v>76</v>
      </c>
    </row>
    <row r="39" spans="1:3" ht="15.75" customHeight="1" x14ac:dyDescent="0.25">
      <c r="A39" s="13">
        <v>50</v>
      </c>
      <c r="B39" s="13" t="s">
        <v>66</v>
      </c>
      <c r="C39" s="13" t="s">
        <v>77</v>
      </c>
    </row>
    <row r="40" spans="1:3" ht="15.75" customHeight="1" x14ac:dyDescent="0.25">
      <c r="A40" s="12">
        <v>55</v>
      </c>
      <c r="B40" s="12" t="s">
        <v>64</v>
      </c>
      <c r="C40" s="12" t="s">
        <v>78</v>
      </c>
    </row>
    <row r="41" spans="1:3" ht="15.75" customHeight="1" x14ac:dyDescent="0.25">
      <c r="A41" s="13">
        <v>60</v>
      </c>
      <c r="B41" s="13" t="s">
        <v>62</v>
      </c>
      <c r="C41" s="13" t="s">
        <v>79</v>
      </c>
    </row>
    <row r="42" spans="1:3" ht="15.75" customHeight="1" x14ac:dyDescent="0.25">
      <c r="A42" s="12">
        <v>65</v>
      </c>
      <c r="B42" s="12" t="s">
        <v>60</v>
      </c>
      <c r="C42" s="12" t="s">
        <v>80</v>
      </c>
    </row>
    <row r="43" spans="1:3" ht="15.75" customHeight="1" x14ac:dyDescent="0.25">
      <c r="A43" s="13">
        <v>70</v>
      </c>
      <c r="B43" s="13" t="s">
        <v>58</v>
      </c>
      <c r="C43" s="13" t="s">
        <v>81</v>
      </c>
    </row>
    <row r="44" spans="1:3" ht="15.75" customHeight="1" x14ac:dyDescent="0.25">
      <c r="A44" s="12">
        <v>75</v>
      </c>
      <c r="B44" s="12" t="s">
        <v>56</v>
      </c>
      <c r="C44" s="12" t="s">
        <v>82</v>
      </c>
    </row>
    <row r="45" spans="1:3" ht="15.75" customHeight="1" x14ac:dyDescent="0.25">
      <c r="A45" s="13">
        <v>80</v>
      </c>
      <c r="B45" s="13" t="s">
        <v>54</v>
      </c>
      <c r="C45" s="13" t="s">
        <v>83</v>
      </c>
    </row>
    <row r="46" spans="1:3" ht="15.75" customHeight="1" x14ac:dyDescent="0.25">
      <c r="A46" s="12">
        <v>85</v>
      </c>
      <c r="B46" s="12" t="s">
        <v>52</v>
      </c>
      <c r="C46" s="12" t="s">
        <v>84</v>
      </c>
    </row>
    <row r="47" spans="1:3" ht="15.75" customHeight="1" x14ac:dyDescent="0.25">
      <c r="A47" s="13">
        <v>90</v>
      </c>
      <c r="B47" s="13" t="s">
        <v>50</v>
      </c>
      <c r="C47" s="13" t="s">
        <v>85</v>
      </c>
    </row>
    <row r="48" spans="1:3" ht="32.25" customHeight="1" x14ac:dyDescent="0.25">
      <c r="A48" s="138" t="s">
        <v>86</v>
      </c>
      <c r="B48" s="139"/>
      <c r="C48" s="139"/>
    </row>
    <row r="50" spans="1:3" ht="30.75" customHeight="1" x14ac:dyDescent="0.25">
      <c r="A50" s="140" t="s">
        <v>166</v>
      </c>
      <c r="B50" s="92"/>
      <c r="C50" s="92"/>
    </row>
    <row r="51" spans="1:3" ht="15" customHeight="1" x14ac:dyDescent="0.25">
      <c r="A51" s="141" t="s">
        <v>157</v>
      </c>
      <c r="B51" s="141"/>
      <c r="C51" s="46" t="s">
        <v>158</v>
      </c>
    </row>
    <row r="52" spans="1:3" ht="30.75" customHeight="1" x14ac:dyDescent="0.25">
      <c r="A52" s="142" t="s">
        <v>163</v>
      </c>
      <c r="B52" s="142"/>
      <c r="C52" s="47" t="s">
        <v>159</v>
      </c>
    </row>
    <row r="53" spans="1:3" ht="32.25" customHeight="1" x14ac:dyDescent="0.25">
      <c r="A53" s="142" t="s">
        <v>164</v>
      </c>
      <c r="B53" s="142"/>
      <c r="C53" s="47" t="s">
        <v>160</v>
      </c>
    </row>
    <row r="54" spans="1:3" ht="28.5" customHeight="1" x14ac:dyDescent="0.25">
      <c r="A54" s="142" t="s">
        <v>165</v>
      </c>
      <c r="B54" s="142"/>
      <c r="C54" s="47" t="s">
        <v>161</v>
      </c>
    </row>
    <row r="55" spans="1:3" ht="27" customHeight="1" x14ac:dyDescent="0.25">
      <c r="A55" s="136" t="s">
        <v>162</v>
      </c>
      <c r="B55" s="136"/>
      <c r="C55" s="136"/>
    </row>
  </sheetData>
  <sheetProtection algorithmName="SHA-512" hashValue="OnggpRkX8S4fvtb28+QqeFTV20Bbi55q5qUGRuj4vUydNghCKIUFY7rU/xRNPvuRy2RVnjmh9Xgblcw3NELGoA==" saltValue="kiQbidRqWHVCJ+2pwYAr1A==" spinCount="100000" sheet="1" objects="1" scenarios="1"/>
  <mergeCells count="13">
    <mergeCell ref="A55:C55"/>
    <mergeCell ref="A1:I1"/>
    <mergeCell ref="A8:B8"/>
    <mergeCell ref="A48:C48"/>
    <mergeCell ref="A10:C10"/>
    <mergeCell ref="A36:C36"/>
    <mergeCell ref="A2:I2"/>
    <mergeCell ref="A23:C23"/>
    <mergeCell ref="A50:C50"/>
    <mergeCell ref="A51:B51"/>
    <mergeCell ref="A52:B52"/>
    <mergeCell ref="A53:B53"/>
    <mergeCell ref="A54:B54"/>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D16"/>
  <sheetViews>
    <sheetView topLeftCell="B1" zoomScaleNormal="100" workbookViewId="0">
      <selection activeCell="D15" sqref="D15"/>
    </sheetView>
  </sheetViews>
  <sheetFormatPr defaultColWidth="8.7109375" defaultRowHeight="15" x14ac:dyDescent="0.25"/>
  <cols>
    <col min="1" max="1" width="10" style="67" customWidth="1"/>
    <col min="2" max="2" width="16" style="67" customWidth="1"/>
    <col min="3" max="10" width="55" style="67" customWidth="1"/>
    <col min="11" max="16384" width="8.7109375" style="67"/>
  </cols>
  <sheetData>
    <row r="1" spans="1:4" x14ac:dyDescent="0.25">
      <c r="A1" s="143" t="s">
        <v>154</v>
      </c>
      <c r="B1" s="144"/>
      <c r="C1" s="144"/>
      <c r="D1" s="144"/>
    </row>
    <row r="2" spans="1:4" x14ac:dyDescent="0.25">
      <c r="A2" s="145" t="s">
        <v>218</v>
      </c>
      <c r="B2" s="146"/>
      <c r="C2" s="146"/>
      <c r="D2" s="146"/>
    </row>
    <row r="4" spans="1:4" x14ac:dyDescent="0.25">
      <c r="A4" s="70" t="s">
        <v>47</v>
      </c>
      <c r="B4" s="68" t="s">
        <v>108</v>
      </c>
      <c r="C4" s="69" t="s">
        <v>109</v>
      </c>
      <c r="D4" s="69" t="s">
        <v>110</v>
      </c>
    </row>
    <row r="5" spans="1:4" ht="60.75" x14ac:dyDescent="0.25">
      <c r="A5" s="71" t="s">
        <v>50</v>
      </c>
      <c r="B5" s="79" t="s">
        <v>219</v>
      </c>
      <c r="C5" s="83" t="s">
        <v>205</v>
      </c>
      <c r="D5" s="84" t="s">
        <v>228</v>
      </c>
    </row>
    <row r="6" spans="1:4" ht="60.75" x14ac:dyDescent="0.25">
      <c r="A6" s="72" t="s">
        <v>52</v>
      </c>
      <c r="B6" s="79" t="s">
        <v>220</v>
      </c>
      <c r="C6" s="83" t="s">
        <v>206</v>
      </c>
      <c r="D6" s="84" t="s">
        <v>229</v>
      </c>
    </row>
    <row r="7" spans="1:4" ht="60.75" x14ac:dyDescent="0.25">
      <c r="A7" s="71" t="s">
        <v>54</v>
      </c>
      <c r="B7" s="79" t="s">
        <v>221</v>
      </c>
      <c r="C7" s="83" t="s">
        <v>207</v>
      </c>
      <c r="D7" s="84" t="s">
        <v>230</v>
      </c>
    </row>
    <row r="8" spans="1:4" ht="72.75" x14ac:dyDescent="0.25">
      <c r="A8" s="73" t="s">
        <v>56</v>
      </c>
      <c r="B8" s="80" t="s">
        <v>222</v>
      </c>
      <c r="C8" s="85" t="s">
        <v>208</v>
      </c>
      <c r="D8" s="86" t="s">
        <v>231</v>
      </c>
    </row>
    <row r="9" spans="1:4" ht="60.75" x14ac:dyDescent="0.25">
      <c r="A9" s="74" t="s">
        <v>58</v>
      </c>
      <c r="B9" s="80" t="s">
        <v>223</v>
      </c>
      <c r="C9" s="85" t="s">
        <v>209</v>
      </c>
      <c r="D9" s="86" t="s">
        <v>232</v>
      </c>
    </row>
    <row r="10" spans="1:4" ht="60.75" x14ac:dyDescent="0.25">
      <c r="A10" s="66" t="s">
        <v>60</v>
      </c>
      <c r="B10" s="80" t="s">
        <v>224</v>
      </c>
      <c r="C10" s="85" t="s">
        <v>210</v>
      </c>
      <c r="D10" s="86" t="s">
        <v>233</v>
      </c>
    </row>
    <row r="11" spans="1:4" ht="60.75" x14ac:dyDescent="0.25">
      <c r="A11" s="75" t="s">
        <v>62</v>
      </c>
      <c r="B11" s="81" t="s">
        <v>225</v>
      </c>
      <c r="C11" s="87" t="s">
        <v>211</v>
      </c>
      <c r="D11" s="88" t="s">
        <v>214</v>
      </c>
    </row>
    <row r="12" spans="1:4" ht="72.75" x14ac:dyDescent="0.25">
      <c r="A12" s="76" t="s">
        <v>64</v>
      </c>
      <c r="B12" s="81" t="s">
        <v>226</v>
      </c>
      <c r="C12" s="87" t="s">
        <v>212</v>
      </c>
      <c r="D12" s="88" t="s">
        <v>215</v>
      </c>
    </row>
    <row r="13" spans="1:4" ht="60.75" x14ac:dyDescent="0.25">
      <c r="A13" s="75" t="s">
        <v>66</v>
      </c>
      <c r="B13" s="81" t="s">
        <v>227</v>
      </c>
      <c r="C13" s="87" t="s">
        <v>213</v>
      </c>
      <c r="D13" s="88" t="s">
        <v>216</v>
      </c>
    </row>
    <row r="14" spans="1:4" ht="72.75" x14ac:dyDescent="0.25">
      <c r="A14" s="77" t="s">
        <v>38</v>
      </c>
      <c r="B14" s="82" t="s">
        <v>37</v>
      </c>
      <c r="C14" s="89" t="s">
        <v>111</v>
      </c>
      <c r="D14" s="90" t="s">
        <v>150</v>
      </c>
    </row>
    <row r="16" spans="1:4" ht="409.6" x14ac:dyDescent="0.25">
      <c r="A16" s="78" t="s">
        <v>217</v>
      </c>
    </row>
  </sheetData>
  <sheetProtection algorithmName="SHA-512" hashValue="IORIQeSuWFJq4mdO3QSOtpujuaRojymDFZG8n1mfnOK0y8X2yB4lemZgdSKOGv2HKjZd438GknMGCkZdv/gmUQ==" saltValue="VYRPJrBjJIUYTnulBSpIBw==" spinCount="100000" sheet="1" objects="1" scenarios="1"/>
  <mergeCells count="2">
    <mergeCell ref="A1:D1"/>
    <mergeCell ref="A2:D2"/>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8ABF-60E4-4F0E-91DC-47C84DBC6E1F}">
  <sheetPr>
    <tabColor rgb="FF003B6F"/>
  </sheetPr>
  <dimension ref="A1:I9"/>
  <sheetViews>
    <sheetView workbookViewId="0">
      <selection activeCell="D9" sqref="D9"/>
    </sheetView>
  </sheetViews>
  <sheetFormatPr defaultRowHeight="15" x14ac:dyDescent="0.25"/>
  <cols>
    <col min="1" max="1" width="41.85546875" customWidth="1"/>
  </cols>
  <sheetData>
    <row r="1" spans="1:9" x14ac:dyDescent="0.25">
      <c r="A1" s="40" t="s">
        <v>92</v>
      </c>
      <c r="B1" s="40" t="s">
        <v>145</v>
      </c>
      <c r="C1" s="40" t="s">
        <v>146</v>
      </c>
      <c r="D1" s="40" t="s">
        <v>147</v>
      </c>
      <c r="E1" s="40" t="s">
        <v>144</v>
      </c>
      <c r="F1" s="63" t="str">
        <f>IF(Kitchen!B5&lt;&gt;"",Kitchen!B5&amp;" — 5C Scores","5C Student Report Profile")</f>
        <v>Mickey Mouse — 5C Scores</v>
      </c>
      <c r="G1" s="40" t="s">
        <v>92</v>
      </c>
      <c r="H1" s="40" t="s">
        <v>147</v>
      </c>
      <c r="I1" s="40" t="s">
        <v>144</v>
      </c>
    </row>
    <row r="2" spans="1:9" x14ac:dyDescent="0.25">
      <c r="A2" s="41" t="str">
        <f>Kitchen!A8</f>
        <v>New Product Idea</v>
      </c>
      <c r="B2" s="42">
        <f>Kitchen!F8</f>
        <v>52</v>
      </c>
      <c r="C2" s="42">
        <v>15</v>
      </c>
      <c r="D2" s="43">
        <f t="shared" ref="D2:D8" si="0">ROUND(B2*C2/100,1)</f>
        <v>7.8</v>
      </c>
      <c r="E2" s="42">
        <f t="shared" ref="E2:E8" si="1">C2</f>
        <v>15</v>
      </c>
      <c r="G2" s="41" t="str">
        <f t="shared" ref="G2:G8" si="2">A2</f>
        <v>New Product Idea</v>
      </c>
      <c r="H2" s="42">
        <f t="shared" ref="H2:I8" si="3">D2</f>
        <v>7.8</v>
      </c>
      <c r="I2" s="42">
        <f t="shared" si="3"/>
        <v>15</v>
      </c>
    </row>
    <row r="3" spans="1:9" x14ac:dyDescent="0.25">
      <c r="A3" s="41" t="str">
        <f>Kitchen!A9</f>
        <v>Context – PESTLE</v>
      </c>
      <c r="B3" s="42">
        <f>Kitchen!F9</f>
        <v>71</v>
      </c>
      <c r="C3" s="42">
        <v>20</v>
      </c>
      <c r="D3" s="43">
        <f t="shared" si="0"/>
        <v>14.2</v>
      </c>
      <c r="E3" s="42">
        <f t="shared" si="1"/>
        <v>20</v>
      </c>
      <c r="G3" s="41" t="str">
        <f t="shared" si="2"/>
        <v>Context – PESTLE</v>
      </c>
      <c r="H3" s="42">
        <f t="shared" si="3"/>
        <v>14.2</v>
      </c>
      <c r="I3" s="42">
        <f t="shared" si="3"/>
        <v>20</v>
      </c>
    </row>
    <row r="4" spans="1:9" x14ac:dyDescent="0.25">
      <c r="A4" s="41" t="str">
        <f>Kitchen!A10</f>
        <v>Company – SWOT</v>
      </c>
      <c r="B4" s="42">
        <f>Kitchen!F10</f>
        <v>67</v>
      </c>
      <c r="C4" s="42">
        <v>20</v>
      </c>
      <c r="D4" s="43">
        <f t="shared" si="0"/>
        <v>13.4</v>
      </c>
      <c r="E4" s="42">
        <f t="shared" si="1"/>
        <v>20</v>
      </c>
      <c r="G4" s="41" t="str">
        <f t="shared" si="2"/>
        <v>Company – SWOT</v>
      </c>
      <c r="H4" s="42">
        <f t="shared" si="3"/>
        <v>13.4</v>
      </c>
      <c r="I4" s="42">
        <f t="shared" si="3"/>
        <v>20</v>
      </c>
    </row>
    <row r="5" spans="1:9" x14ac:dyDescent="0.25">
      <c r="A5" s="41" t="str">
        <f>Kitchen!A11</f>
        <v>Competition</v>
      </c>
      <c r="B5" s="42">
        <f>Kitchen!F11</f>
        <v>57</v>
      </c>
      <c r="C5" s="42">
        <v>15</v>
      </c>
      <c r="D5" s="43">
        <f t="shared" si="0"/>
        <v>8.6</v>
      </c>
      <c r="E5" s="42">
        <f t="shared" si="1"/>
        <v>15</v>
      </c>
      <c r="G5" s="41" t="str">
        <f t="shared" si="2"/>
        <v>Competition</v>
      </c>
      <c r="H5" s="42">
        <f t="shared" si="3"/>
        <v>8.6</v>
      </c>
      <c r="I5" s="42">
        <f t="shared" si="3"/>
        <v>15</v>
      </c>
    </row>
    <row r="6" spans="1:9" x14ac:dyDescent="0.25">
      <c r="A6" s="41" t="str">
        <f>Kitchen!A12</f>
        <v>Collaborators</v>
      </c>
      <c r="B6" s="42">
        <f>Kitchen!F12</f>
        <v>44</v>
      </c>
      <c r="C6" s="42">
        <v>10</v>
      </c>
      <c r="D6" s="43">
        <f t="shared" si="0"/>
        <v>4.4000000000000004</v>
      </c>
      <c r="E6" s="42">
        <f t="shared" si="1"/>
        <v>10</v>
      </c>
      <c r="G6" s="41" t="str">
        <f t="shared" si="2"/>
        <v>Collaborators</v>
      </c>
      <c r="H6" s="42">
        <f t="shared" si="3"/>
        <v>4.4000000000000004</v>
      </c>
      <c r="I6" s="42">
        <f t="shared" si="3"/>
        <v>10</v>
      </c>
    </row>
    <row r="7" spans="1:9" x14ac:dyDescent="0.25">
      <c r="A7" s="41" t="str">
        <f>Kitchen!A13</f>
        <v>Customers</v>
      </c>
      <c r="B7" s="42">
        <f>Kitchen!F13</f>
        <v>57</v>
      </c>
      <c r="C7" s="42">
        <v>10</v>
      </c>
      <c r="D7" s="43">
        <f t="shared" si="0"/>
        <v>5.7</v>
      </c>
      <c r="E7" s="42">
        <f t="shared" si="1"/>
        <v>10</v>
      </c>
      <c r="G7" s="41" t="str">
        <f t="shared" si="2"/>
        <v>Customers</v>
      </c>
      <c r="H7" s="42">
        <f t="shared" si="3"/>
        <v>5.7</v>
      </c>
      <c r="I7" s="42">
        <f t="shared" si="3"/>
        <v>10</v>
      </c>
    </row>
    <row r="8" spans="1:9" x14ac:dyDescent="0.25">
      <c r="A8" s="41" t="str">
        <f>Kitchen!A14</f>
        <v>Writing &amp; Presentation (incl. APA 7th)</v>
      </c>
      <c r="B8" s="42">
        <f>Kitchen!F14</f>
        <v>57</v>
      </c>
      <c r="C8" s="42">
        <v>10</v>
      </c>
      <c r="D8" s="43">
        <f t="shared" si="0"/>
        <v>5.7</v>
      </c>
      <c r="E8" s="42">
        <f t="shared" si="1"/>
        <v>10</v>
      </c>
      <c r="G8" s="41" t="str">
        <f t="shared" si="2"/>
        <v>Writing &amp; Presentation (incl. APA 7th)</v>
      </c>
      <c r="H8" s="42">
        <f t="shared" si="3"/>
        <v>5.7</v>
      </c>
      <c r="I8" s="42">
        <f t="shared" si="3"/>
        <v>10</v>
      </c>
    </row>
    <row r="9" spans="1:9" x14ac:dyDescent="0.25">
      <c r="A9" s="44" t="s">
        <v>148</v>
      </c>
      <c r="C9" s="40">
        <f>SUM(C2:C8)</f>
        <v>100</v>
      </c>
      <c r="D9" s="40">
        <f>SUM(D2:D8)</f>
        <v>59.800000000000004</v>
      </c>
      <c r="E9" s="40">
        <f>SUM(E2:E8)</f>
        <v>100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A1:D19"/>
  <sheetViews>
    <sheetView zoomScaleNormal="100" workbookViewId="0">
      <selection activeCell="M8" sqref="M8"/>
    </sheetView>
  </sheetViews>
  <sheetFormatPr defaultColWidth="8.7109375" defaultRowHeight="15" customHeight="1" x14ac:dyDescent="0.25"/>
  <cols>
    <col min="1" max="1" width="50.28515625" customWidth="1"/>
    <col min="2" max="2" width="14" customWidth="1"/>
    <col min="3" max="3" width="30" customWidth="1"/>
    <col min="4" max="4" width="10" customWidth="1"/>
  </cols>
  <sheetData>
    <row r="1" spans="1:4" ht="25.5" customHeight="1" x14ac:dyDescent="0.25">
      <c r="A1" s="143" t="s">
        <v>177</v>
      </c>
      <c r="B1" s="92"/>
      <c r="C1" s="92"/>
      <c r="D1" s="92"/>
    </row>
    <row r="2" spans="1:4" ht="13.5" customHeight="1" x14ac:dyDescent="0.25">
      <c r="A2" s="151" t="s">
        <v>112</v>
      </c>
      <c r="B2" s="92"/>
      <c r="C2" s="92"/>
      <c r="D2" s="92"/>
    </row>
    <row r="3" spans="1:4" ht="7.5" customHeight="1" x14ac:dyDescent="0.25"/>
    <row r="4" spans="1:4" ht="18" customHeight="1" x14ac:dyDescent="0.25">
      <c r="A4" s="121" t="s">
        <v>113</v>
      </c>
      <c r="B4" s="92"/>
      <c r="C4" s="92"/>
      <c r="D4" s="92"/>
    </row>
    <row r="5" spans="1:4" ht="30" customHeight="1" x14ac:dyDescent="0.25">
      <c r="A5" s="31" t="s">
        <v>114</v>
      </c>
      <c r="B5" s="32">
        <v>56</v>
      </c>
      <c r="C5" s="150" t="s">
        <v>115</v>
      </c>
      <c r="D5" s="97"/>
    </row>
    <row r="6" spans="1:4" ht="36" customHeight="1" x14ac:dyDescent="0.25">
      <c r="A6" s="31" t="s">
        <v>169</v>
      </c>
      <c r="B6" s="32">
        <f>B5*35/60</f>
        <v>32.666666666666664</v>
      </c>
      <c r="C6" s="147" t="s">
        <v>172</v>
      </c>
      <c r="D6" s="148"/>
    </row>
    <row r="7" spans="1:4" ht="36" customHeight="1" x14ac:dyDescent="0.25">
      <c r="A7" s="31" t="s">
        <v>170</v>
      </c>
      <c r="B7" s="32">
        <f>B5*25/60</f>
        <v>23.333333333333332</v>
      </c>
      <c r="C7" s="147" t="s">
        <v>171</v>
      </c>
      <c r="D7" s="148"/>
    </row>
    <row r="8" spans="1:4" ht="39" customHeight="1" x14ac:dyDescent="0.25">
      <c r="A8" s="31" t="s">
        <v>168</v>
      </c>
      <c r="B8" s="32">
        <f>B5*28/60</f>
        <v>26.133333333333333</v>
      </c>
      <c r="C8" s="147" t="s">
        <v>173</v>
      </c>
      <c r="D8" s="148"/>
    </row>
    <row r="9" spans="1:4" ht="34.5" customHeight="1" x14ac:dyDescent="0.25">
      <c r="A9" s="31" t="s">
        <v>167</v>
      </c>
      <c r="B9" s="32">
        <f>B5*14/60</f>
        <v>13.066666666666666</v>
      </c>
      <c r="C9" s="147" t="s">
        <v>174</v>
      </c>
      <c r="D9" s="148"/>
    </row>
    <row r="10" spans="1:4" ht="18" customHeight="1" x14ac:dyDescent="0.25"/>
    <row r="11" spans="1:4" ht="21.75" customHeight="1" x14ac:dyDescent="0.25">
      <c r="A11" s="121" t="s">
        <v>152</v>
      </c>
      <c r="B11" s="92"/>
      <c r="C11" s="92"/>
      <c r="D11" s="92"/>
    </row>
    <row r="12" spans="1:4" ht="21.75" customHeight="1" x14ac:dyDescent="0.25">
      <c r="A12" s="33" t="s">
        <v>116</v>
      </c>
      <c r="B12" s="34">
        <f>B6+B7/2</f>
        <v>44.333333333333329</v>
      </c>
      <c r="C12" s="149"/>
      <c r="D12" s="92"/>
    </row>
    <row r="13" spans="1:4" ht="21.75" customHeight="1" x14ac:dyDescent="0.25">
      <c r="A13" s="33" t="s">
        <v>117</v>
      </c>
      <c r="B13" s="34">
        <f>B8+B9/2</f>
        <v>32.666666666666664</v>
      </c>
      <c r="C13" s="149"/>
      <c r="D13" s="92"/>
    </row>
    <row r="14" spans="1:4" ht="21.75" customHeight="1" x14ac:dyDescent="0.25">
      <c r="A14" s="35" t="s">
        <v>118</v>
      </c>
      <c r="B14" s="36">
        <f>ROUND(B12-B13,1)</f>
        <v>11.7</v>
      </c>
      <c r="C14" s="92"/>
      <c r="D14" s="92"/>
    </row>
    <row r="15" spans="1:4" ht="21.75" customHeight="1" x14ac:dyDescent="0.25">
      <c r="A15" s="35" t="s">
        <v>119</v>
      </c>
      <c r="B15" s="37">
        <f>ROUND((B12-B13)*60,0)</f>
        <v>700</v>
      </c>
      <c r="C15" s="92"/>
      <c r="D15" s="92"/>
    </row>
    <row r="16" spans="1:4" ht="46.5" customHeight="1" x14ac:dyDescent="0.25">
      <c r="A16" s="49" t="s">
        <v>175</v>
      </c>
      <c r="B16" s="48">
        <f>B14*23.5*2.5</f>
        <v>687.375</v>
      </c>
      <c r="C16" s="92"/>
      <c r="D16" s="92"/>
    </row>
    <row r="17" spans="1:4" ht="20.25" customHeight="1" x14ac:dyDescent="0.25">
      <c r="A17" s="33" t="s">
        <v>120</v>
      </c>
      <c r="B17" s="38" t="str">
        <f>IFERROR(TEXT(1-B8/B6,"0%")&amp;" faster","—")</f>
        <v>20% faster</v>
      </c>
      <c r="C17" s="92"/>
      <c r="D17" s="92"/>
    </row>
    <row r="18" spans="1:4" ht="11.25" customHeight="1" x14ac:dyDescent="0.25"/>
    <row r="19" spans="1:4" ht="39" customHeight="1" x14ac:dyDescent="0.25">
      <c r="A19" s="138" t="s">
        <v>153</v>
      </c>
      <c r="B19" s="139"/>
      <c r="C19" s="139"/>
      <c r="D19" s="139"/>
    </row>
  </sheetData>
  <mergeCells count="16">
    <mergeCell ref="C9:D9"/>
    <mergeCell ref="A1:D1"/>
    <mergeCell ref="A19:D19"/>
    <mergeCell ref="A11:D11"/>
    <mergeCell ref="C14:D14"/>
    <mergeCell ref="C6:D6"/>
    <mergeCell ref="C8:D8"/>
    <mergeCell ref="C12:D12"/>
    <mergeCell ref="C17:D17"/>
    <mergeCell ref="C13:D13"/>
    <mergeCell ref="A4:D4"/>
    <mergeCell ref="C5:D5"/>
    <mergeCell ref="C16:D16"/>
    <mergeCell ref="C15:D15"/>
    <mergeCell ref="A2:D2"/>
    <mergeCell ref="C7:D7"/>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Instructions</vt:lpstr>
      <vt:lpstr>Kitchen</vt:lpstr>
      <vt:lpstr>Ingredients</vt:lpstr>
      <vt:lpstr>Pablumator</vt:lpstr>
      <vt:lpstr>Student Chart</vt:lpstr>
      <vt:lpstr>Demo Stats</vt:lpstr>
      <vt:lpstr>Kitchen!Print_Area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Mann</cp:lastModifiedBy>
  <cp:revision>0</cp:revision>
  <cp:lastPrinted>2026-03-06T01:29:41Z</cp:lastPrinted>
  <dcterms:created xsi:type="dcterms:W3CDTF">2026-03-03T23:58:59Z</dcterms:created>
  <dcterms:modified xsi:type="dcterms:W3CDTF">2026-03-06T07:18:04Z</dcterms:modified>
  <dc:language>en-US</dc:language>
</cp:coreProperties>
</file>